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StartCamp\team_project\docs\"/>
    </mc:Choice>
  </mc:AlternateContent>
  <xr:revisionPtr revIDLastSave="0" documentId="13_ncr:1_{604A28E4-9141-4DC8-8417-AFA048E9DD56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6" l="1"/>
  <c r="M19" i="6"/>
  <c r="L19" i="6"/>
  <c r="K19" i="6"/>
  <c r="H19" i="6"/>
  <c r="M17" i="6"/>
  <c r="L17" i="6"/>
  <c r="K17" i="6"/>
  <c r="H17" i="6"/>
  <c r="M16" i="6"/>
  <c r="L16" i="6"/>
  <c r="K16" i="6"/>
  <c r="H16" i="6"/>
  <c r="M15" i="6"/>
  <c r="L15" i="6"/>
  <c r="K15" i="6"/>
  <c r="H15" i="6"/>
  <c r="M14" i="6"/>
  <c r="L14" i="6"/>
  <c r="K14" i="6"/>
  <c r="H14" i="6"/>
  <c r="M13" i="6"/>
  <c r="L13" i="6"/>
  <c r="K13" i="6"/>
  <c r="H13" i="6"/>
  <c r="M12" i="6"/>
  <c r="L12" i="6"/>
  <c r="K12" i="6"/>
  <c r="H12" i="6"/>
  <c r="M11" i="6"/>
  <c r="L11" i="6"/>
  <c r="K11" i="6"/>
  <c r="H11" i="6"/>
  <c r="M10" i="6"/>
  <c r="L10" i="6"/>
  <c r="K10" i="6"/>
  <c r="H10" i="6"/>
  <c r="M9" i="6"/>
  <c r="L9" i="6"/>
  <c r="K9" i="6"/>
  <c r="H9" i="6"/>
  <c r="M8" i="6"/>
  <c r="L8" i="6"/>
  <c r="K8" i="6"/>
  <c r="H8" i="6"/>
  <c r="M7" i="6"/>
  <c r="L7" i="6"/>
  <c r="K7" i="6"/>
  <c r="H7" i="6"/>
  <c r="M6" i="6"/>
  <c r="L6" i="6"/>
  <c r="K6" i="6"/>
  <c r="H6" i="6"/>
  <c r="M5" i="6"/>
  <c r="L5" i="6"/>
  <c r="K5" i="6"/>
  <c r="H5" i="6"/>
  <c r="G12" i="4"/>
  <c r="G11" i="4"/>
  <c r="G10" i="4"/>
  <c r="G9" i="4"/>
  <c r="G8" i="4"/>
  <c r="G7" i="4"/>
  <c r="G6" i="4"/>
  <c r="G5" i="4"/>
</calcChain>
</file>

<file path=xl/sharedStrings.xml><?xml version="1.0" encoding="utf-8"?>
<sst xmlns="http://schemas.openxmlformats.org/spreadsheetml/2006/main" count="317" uniqueCount="262">
  <si>
    <r>
      <rPr>
        <b/>
        <sz val="10"/>
        <color rgb="FF222222"/>
        <rFont val="맑은 고딕"/>
        <family val="3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</rPr>
      <t>목표</t>
    </r>
  </si>
  <si>
    <r>
      <rPr>
        <sz val="10"/>
        <color rgb="FF222222"/>
        <rFont val="맑은 고딕"/>
        <family val="3"/>
      </rPr>
      <t>기획</t>
    </r>
    <r>
      <rPr>
        <sz val="10"/>
        <color rgb="FF222222"/>
        <rFont val="Noto Sans CJK SC"/>
        <family val="2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체험</t>
    </r>
  </si>
  <si>
    <t>실습 소재</t>
  </si>
  <si>
    <t>사용 도구</t>
  </si>
  <si>
    <t>ChatGPT</t>
  </si>
  <si>
    <t>총 소요시간</t>
  </si>
  <si>
    <r>
      <t>3</t>
    </r>
    <r>
      <rPr>
        <sz val="10"/>
        <color rgb="FF222222"/>
        <rFont val="맑은 고딕"/>
        <family val="3"/>
      </rPr>
      <t>시간</t>
    </r>
  </si>
  <si>
    <t>1_프롬프트가이드(참고)</t>
  </si>
  <si>
    <r>
      <rPr>
        <sz val="10"/>
        <color rgb="FF222222"/>
        <rFont val="맑은 고딕"/>
        <family val="3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</rPr>
      <t>모음</t>
    </r>
  </si>
  <si>
    <t>2_요구사항분석(샘플)</t>
  </si>
  <si>
    <t>3_아이디어도출(샘플)</t>
  </si>
  <si>
    <t>4_MVP정의(샘플)</t>
  </si>
  <si>
    <t>5_WBS_간트차트(샘플)</t>
  </si>
  <si>
    <t>6_용어설명(참고)</t>
  </si>
  <si>
    <r>
      <rPr>
        <sz val="10"/>
        <color rgb="FF222222"/>
        <rFont val="맑은 고딕"/>
        <family val="3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사전</t>
    </r>
  </si>
  <si>
    <t>진행 시 유의사항 (냉철하게 확인할 것)</t>
  </si>
  <si>
    <r>
      <t xml:space="preserve">ChatGPT </t>
    </r>
    <r>
      <rPr>
        <sz val="10"/>
        <color rgb="FF222222"/>
        <rFont val="맑은 고딕"/>
        <family val="3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재확인하세요</t>
    </r>
    <r>
      <rPr>
        <sz val="10"/>
        <color rgb="FF222222"/>
        <rFont val="Arial"/>
        <family val="2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</si>
  <si>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</si>
  <si>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</si>
  <si>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</si>
  <si>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</si>
  <si>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</si>
  <si>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</si>
  <si>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</si>
  <si>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</si>
  <si>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</si>
  <si>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t>개발 의뢰 문서(RFP) 핵심요구 추출</t>
  </si>
  <si>
    <r>
      <rPr>
        <sz val="10"/>
        <color rgb="FF222222"/>
        <rFont val="맑은 고딕"/>
        <family val="3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넣기</t>
    </r>
    <r>
      <rPr>
        <sz val="10"/>
        <color rgb="FF222222"/>
        <rFont val="Arial"/>
        <family val="2"/>
      </rPr>
      <t>) ---</t>
    </r>
  </si>
  <si>
    <r>
      <rPr>
        <sz val="10"/>
        <color rgb="FF222222"/>
        <rFont val="맑은 고딕"/>
        <family val="3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표</t>
    </r>
  </si>
  <si>
    <t>개발 의뢰 문서(RFP) 원문을 요약하지 말고 통째로 붙여넣을 것. PDF는 파일 첨부도 가능.</t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</si>
  <si>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</si>
  <si>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t>선택기능 브레인스토밍</t>
  </si>
  <si>
    <r>
      <rPr>
        <sz val="10"/>
        <color rgb="FF222222"/>
        <rFont val="맑은 고딕"/>
        <family val="3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</rPr>
      <t>실현가능성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맑은 고딕"/>
        <family val="2"/>
      </rPr>
      <t>난이도가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</rPr>
      <t>낮을수록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</rPr>
      <t>높음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맑은 고딕"/>
        <family val="2"/>
      </rPr>
      <t>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</rPr>
      <t>임팩트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맑은 고딕"/>
        <family val="2"/>
      </rPr>
      <t>사용자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</rPr>
      <t>체감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</rPr>
      <t>효과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</rPr>
      <t xml:space="preserve">
--- (</t>
    </r>
    <r>
      <rPr>
        <sz val="10"/>
        <color rgb="FF222222"/>
        <rFont val="맑은 고딕"/>
        <family val="3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</rPr>
      <t>붙여넣기</t>
    </r>
    <r>
      <rPr>
        <sz val="10"/>
        <color rgb="FF222222"/>
        <rFont val="Noto Sans CJK SC"/>
        <family val="2"/>
      </rPr>
      <t>) ---</t>
    </r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</si>
  <si>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</si>
  <si>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</si>
  <si>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</si>
  <si>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</si>
  <si>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</si>
  <si>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</si>
  <si>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</si>
  <si>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</si>
  <si>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</rPr>
      <t>작성</t>
    </r>
  </si>
  <si>
    <t>WBS 초안 생성</t>
  </si>
  <si>
    <r>
      <rPr>
        <sz val="10"/>
        <color rgb="FF222222"/>
        <rFont val="맑은 고딕"/>
        <family val="3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만들어줘</t>
    </r>
    <r>
      <rPr>
        <sz val="10"/>
        <color rgb="FF222222"/>
        <rFont val="Arial"/>
        <family val="2"/>
      </rPr>
      <t>.</t>
    </r>
  </si>
  <si>
    <t>작업분해 + 일정 표</t>
  </si>
  <si>
    <t>'오늘 날짜'와 '납기'를 반드시 알려줘야 실제 캘린더에 맞는 일정이 나옴.</t>
  </si>
  <si>
    <r>
      <t xml:space="preserve">LLM (ChatGPT) </t>
    </r>
    <r>
      <rPr>
        <b/>
        <sz val="10"/>
        <color rgb="FF222222"/>
        <rFont val="맑은 고딕"/>
        <family val="3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</rPr>
      <t>팁</t>
    </r>
  </si>
  <si>
    <t>•</t>
  </si>
  <si>
    <r>
      <rPr>
        <sz val="10"/>
        <color rgb="FF222222"/>
        <rFont val="맑은 고딕"/>
        <family val="3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됨</t>
    </r>
  </si>
  <si>
    <r>
      <rPr>
        <sz val="10"/>
        <color rgb="FF222222"/>
        <rFont val="맑은 고딕"/>
        <family val="3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활용</t>
    </r>
  </si>
  <si>
    <r>
      <rPr>
        <sz val="10"/>
        <color rgb="FF222222"/>
        <rFont val="맑은 고딕"/>
        <family val="3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</rPr>
      <t xml:space="preserve">반드시 </t>
    </r>
    <r>
      <rPr>
        <sz val="10"/>
        <color rgb="FF222222"/>
        <rFont val="맑은 고딕"/>
        <family val="3"/>
      </rPr>
      <t>재확인</t>
    </r>
  </si>
  <si>
    <t>구분</t>
  </si>
  <si>
    <t>항목</t>
  </si>
  <si>
    <t>상세 내용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</si>
  <si>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</si>
  <si>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선택기능</t>
  </si>
  <si>
    <t>설명</t>
  </si>
  <si>
    <t>종합점수(자동)</t>
  </si>
  <si>
    <t>선정여부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</si>
  <si>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</si>
  <si>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</si>
  <si>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</si>
  <si>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</si>
  <si>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</si>
  <si>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No</t>
  </si>
  <si>
    <t>대분류</t>
  </si>
  <si>
    <t>작업명</t>
  </si>
  <si>
    <t>담당</t>
  </si>
  <si>
    <t>소요일</t>
  </si>
  <si>
    <t>상태</t>
  </si>
  <si>
    <t>대분류 (범례)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</si>
  <si>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</si>
  <si>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</si>
  <si>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</si>
  <si>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</si>
  <si>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</si>
  <si>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</si>
  <si>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</si>
  <si>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</si>
  <si>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</si>
  <si>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</si>
  <si>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</si>
  <si>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</si>
  <si>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</si>
  <si>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</si>
  <si>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</si>
  <si>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</si>
  <si>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</si>
  <si>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</si>
  <si>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</si>
  <si>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</si>
  <si>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</si>
  <si>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</si>
  <si>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</si>
  <si>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</si>
  <si>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</si>
  <si>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</si>
  <si>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</si>
  <si>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</si>
  <si>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</si>
  <si>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</si>
  <si>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</si>
  <si>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</si>
  <si>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</si>
  <si>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</si>
  <si>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</si>
  <si>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</si>
  <si>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</si>
  <si>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</si>
  <si>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</si>
  <si>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</si>
  <si>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</si>
  <si>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</si>
  <si>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</si>
  <si>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</si>
  <si>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</si>
  <si>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</si>
  <si>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</si>
  <si>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</si>
  <si>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Must</t>
  </si>
  <si>
    <t>커뮤니티 게시판</t>
  </si>
  <si>
    <t>챗봇(FastAPI) 구현</t>
  </si>
  <si>
    <t>기술 스택 고정</t>
  </si>
  <si>
    <t>Should/Could</t>
  </si>
  <si>
    <t>제약</t>
  </si>
  <si>
    <t>보안 요구사항</t>
  </si>
  <si>
    <t>Should</t>
  </si>
  <si>
    <t>사용성 및 완성도</t>
  </si>
  <si>
    <t>Won't</t>
  </si>
  <si>
    <t>이번 MVP 제외 범위</t>
  </si>
  <si>
    <t>3일 개발 일정 / 범위 관리</t>
  </si>
  <si>
    <t>선정</t>
  </si>
  <si>
    <t>축제·공연 캘린더</t>
  </si>
  <si>
    <t>축제공연행사의 시작일·종료일을 월간 캘린더에 표시하고 상세 화면으로 연결</t>
  </si>
  <si>
    <t>제외</t>
  </si>
  <si>
    <t>서울</t>
  </si>
  <si>
    <t>서울 관광정보가 유형별로 흩어져 있고 실제 방문자의 후기와 함께 비교하거나 개인 일정으로 정리하기 어려움</t>
  </si>
  <si>
    <t>팀전체</t>
  </si>
  <si>
    <t>예정</t>
  </si>
  <si>
    <t>BE</t>
  </si>
  <si>
    <t>FE/BE</t>
  </si>
  <si>
    <t>FE</t>
  </si>
  <si>
    <r>
      <rPr>
        <sz val="8"/>
        <color rgb="FF222222"/>
        <rFont val="Calibri"/>
        <family val="2"/>
      </rPr>
      <t>MoSCoW</t>
    </r>
    <r>
      <rPr>
        <sz val="8"/>
        <color rgb="FF222222"/>
        <rFont val="맑은 고딕"/>
        <family val="3"/>
      </rPr>
      <t>란</t>
    </r>
    <r>
      <rPr>
        <sz val="8"/>
        <color rgb="FF222222"/>
        <rFont val="Arial"/>
        <family val="2"/>
      </rPr>
      <t xml:space="preserve">? </t>
    </r>
    <r>
      <rPr>
        <sz val="8"/>
        <color rgb="FF222222"/>
        <rFont val="맑은 고딕"/>
        <family val="3"/>
      </rPr>
      <t>요구사항을</t>
    </r>
    <r>
      <rPr>
        <sz val="8"/>
        <color rgb="FF222222"/>
        <rFont val="Arial"/>
        <family val="2"/>
      </rPr>
      <t xml:space="preserve"> </t>
    </r>
    <r>
      <rPr>
        <b/>
        <sz val="8"/>
        <color rgb="FF222222"/>
        <rFont val="Arial"/>
        <family val="2"/>
      </rPr>
      <t>Must(</t>
    </r>
    <r>
      <rPr>
        <b/>
        <sz val="8"/>
        <color rgb="FF222222"/>
        <rFont val="맑은 고딕"/>
        <family val="3"/>
      </rPr>
      <t>반드시</t>
    </r>
    <r>
      <rPr>
        <b/>
        <sz val="8"/>
        <color rgb="FF222222"/>
        <rFont val="Arial"/>
        <family val="2"/>
      </rPr>
      <t>)/Should(</t>
    </r>
    <r>
      <rPr>
        <b/>
        <sz val="8"/>
        <color rgb="FF222222"/>
        <rFont val="맑은 고딕"/>
        <family val="3"/>
      </rPr>
      <t>중요</t>
    </r>
    <r>
      <rPr>
        <b/>
        <sz val="8"/>
        <color rgb="FF222222"/>
        <rFont val="Arial"/>
        <family val="2"/>
      </rPr>
      <t>)/Could(</t>
    </r>
    <r>
      <rPr>
        <b/>
        <sz val="8"/>
        <color rgb="FF222222"/>
        <rFont val="맑은 고딕"/>
        <family val="3"/>
      </rPr>
      <t>있으면</t>
    </r>
    <r>
      <rPr>
        <b/>
        <sz val="8"/>
        <color rgb="FF222222"/>
        <rFont val="Arial"/>
        <family val="2"/>
      </rPr>
      <t xml:space="preserve"> </t>
    </r>
    <r>
      <rPr>
        <b/>
        <sz val="8"/>
        <color rgb="FF222222"/>
        <rFont val="맑은 고딕"/>
        <family val="3"/>
      </rPr>
      <t>좋음</t>
    </r>
    <r>
      <rPr>
        <b/>
        <sz val="8"/>
        <color rgb="FF222222"/>
        <rFont val="Arial"/>
        <family val="2"/>
      </rPr>
      <t>)/Won't(</t>
    </r>
    <r>
      <rPr>
        <b/>
        <sz val="8"/>
        <color rgb="FF222222"/>
        <rFont val="맑은 고딕"/>
        <family val="3"/>
      </rPr>
      <t>이번엔</t>
    </r>
    <r>
      <rPr>
        <b/>
        <sz val="8"/>
        <color rgb="FF222222"/>
        <rFont val="Arial"/>
        <family val="2"/>
      </rPr>
      <t xml:space="preserve"> </t>
    </r>
    <r>
      <rPr>
        <b/>
        <sz val="8"/>
        <color rgb="FF222222"/>
        <rFont val="맑은 고딕"/>
        <family val="3"/>
      </rPr>
      <t>제외</t>
    </r>
    <r>
      <rPr>
        <b/>
        <sz val="8"/>
        <color rgb="FF222222"/>
        <rFont val="Arial"/>
        <family val="2"/>
      </rPr>
      <t>)</t>
    </r>
    <r>
      <rPr>
        <b/>
        <sz val="8"/>
        <color rgb="FF222222"/>
        <rFont val="맑은 고딕"/>
        <family val="3"/>
      </rPr>
      <t>로</t>
    </r>
    <r>
      <rPr>
        <b/>
        <sz val="8"/>
        <color rgb="FF222222"/>
        <rFont val="Arial"/>
        <family val="2"/>
      </rPr>
      <t xml:space="preserve"> </t>
    </r>
    <r>
      <rPr>
        <b/>
        <sz val="8"/>
        <color rgb="FF222222"/>
        <rFont val="맑은 고딕"/>
        <family val="3"/>
      </rPr>
      <t>나눠</t>
    </r>
    <r>
      <rPr>
        <b/>
        <sz val="8"/>
        <color rgb="FF222222"/>
        <rFont val="Arial"/>
        <family val="2"/>
      </rPr>
      <t xml:space="preserve"> </t>
    </r>
    <r>
      <rPr>
        <b/>
        <sz val="8"/>
        <color rgb="FF222222"/>
        <rFont val="맑은 고딕"/>
        <family val="3"/>
      </rPr>
      <t>우선순위를</t>
    </r>
    <r>
      <rPr>
        <b/>
        <sz val="8"/>
        <color rgb="FF222222"/>
        <rFont val="Arial"/>
        <family val="2"/>
      </rPr>
      <t xml:space="preserve"> </t>
    </r>
    <r>
      <rPr>
        <b/>
        <sz val="8"/>
        <color rgb="FF222222"/>
        <rFont val="맑은 고딕"/>
        <family val="3"/>
      </rPr>
      <t>정하는</t>
    </r>
    <r>
      <rPr>
        <b/>
        <sz val="8"/>
        <color rgb="FF222222"/>
        <rFont val="Arial"/>
        <family val="2"/>
      </rPr>
      <t xml:space="preserve"> </t>
    </r>
    <r>
      <rPr>
        <b/>
        <sz val="8"/>
        <color rgb="FF222222"/>
        <rFont val="맑은 고딕"/>
        <family val="3"/>
      </rPr>
      <t>방법</t>
    </r>
    <r>
      <rPr>
        <sz val="8"/>
        <color rgb="FF222222"/>
        <rFont val="맑은 고딕"/>
        <family val="3"/>
      </rPr>
      <t>입니다</t>
    </r>
    <r>
      <rPr>
        <sz val="8"/>
        <color rgb="FF222222"/>
        <rFont val="Arial"/>
        <family val="2"/>
      </rPr>
      <t>.</t>
    </r>
  </si>
  <si>
    <t>검토의견</t>
    <phoneticPr fontId="14" type="noConversion"/>
  </si>
  <si>
    <t>개발 의뢰 문서(RFP) 근거</t>
  </si>
  <si>
    <r>
      <rPr>
        <b/>
        <sz val="10"/>
        <color rgb="FF222222"/>
        <rFont val="맑은 고딕"/>
        <family val="3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</rPr>
      <t>결과</t>
    </r>
  </si>
  <si>
    <t>구현난이도(1~5,낮을수록쉬움)</t>
  </si>
  <si>
    <t>실현가능성(1~5)</t>
  </si>
  <si>
    <t>임팩트(1~5)</t>
  </si>
  <si>
    <r>
      <rPr>
        <sz val="10"/>
        <color rgb="FF222222"/>
        <rFont val="맑은 고딕"/>
        <family val="3"/>
        <charset val="129"/>
      </rPr>
      <t>실시간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교통정보를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최적경로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계산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내비게이션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또는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경로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탐색</t>
    </r>
    <phoneticPr fontId="14" type="noConversion"/>
  </si>
  <si>
    <t>기획</t>
    <phoneticPr fontId="14" type="noConversion"/>
  </si>
  <si>
    <t>시작(Day)</t>
  </si>
  <si>
    <t>종료(Day)</t>
  </si>
  <si>
    <t>진행률</t>
  </si>
  <si>
    <t>SeoulMySoulMate 프로젝트 기획·구현 현황 (2026-07-16)</t>
  </si>
  <si>
    <t>서울 관광정보 7종을 통합 탐색하고 지도·커뮤니티·Soul Chat·여행 플래너·실시간 서울 정보를 제공하는 Vue 3 + FastAPI 서비스</t>
  </si>
  <si>
    <t>탭 구성 및 진행 순서
(청록=작성·현황 탭 / 남색=참고 탭)</t>
  </si>
  <si>
    <t>현재 코드와 초기 기획을 대조해 Must/Should/Could/Won't 및 제약사항을 갱신한 구현 현황</t>
  </si>
  <si>
    <t>실제로 채택·구현된 확장 기능과 제외 기능을 난이도×임팩트 기준으로 정리</t>
  </si>
  <si>
    <t>현재 구현된 핵심 기능, 선택 기능, 제외 범위를 확정한 구현 기준 MVP</t>
  </si>
  <si>
    <t>Day 1~3 작업분해와 2026-07-16 기준 진행률·남은 작업을 표시</t>
  </si>
  <si>
    <t>SeoulMySoulMate 요구사항 분석 및 구현 현황 (MoSCoW)</t>
  </si>
  <si>
    <t>서울 관광정보 7종 통합 적재</t>
  </si>
  <si>
    <t>관광지·레포츠·문화시설·쇼핑·숙박·여행코스·축제공연행사 JSON을 공통 모델로 정규화해 SQLite에 6,518건 적재</t>
  </si>
  <si>
    <t>제공 JSON 기반 구현</t>
  </si>
  <si>
    <t>서버 시작 시 빈 DB를 자동 적재하고 수동 seed 스크립트도 제공; 요청마다 JSON 전체를 읽지 않음</t>
  </si>
  <si>
    <t>콘텐츠 검색·상세 조회</t>
  </si>
  <si>
    <t>카테고리·서울 지역·장소명 키워드와 페이지 조건으로 검색하고 상세 정보·연관 게시글·위치 지도를 표시</t>
  </si>
  <si>
    <t>관광정보 통합 제공</t>
  </si>
  <si>
    <t>GET /api/contents, /api/contents/{contentid} 구현; 이미지·주소·좌표 누락에 대한 대체 UI 포함</t>
  </si>
  <si>
    <t>회원 인증 및 권한 처리</t>
  </si>
  <si>
    <t>이메일·닉네임·비밀번호 회원가입, 로그인·로그아웃·세션 복원을 제공하고 게시글·댓글 작성/변경은 로그인 및 작성자 권한으로 제한</t>
  </si>
  <si>
    <t>구현 중 범위 확장</t>
  </si>
  <si>
    <t>비밀번호와 세션 토큰은 해시로 저장; 14일 Bearer 세션과 만료·401 처리 구현</t>
  </si>
  <si>
    <t>장소·여행코스 커뮤니티 CRUD</t>
  </si>
  <si>
    <t>장소 후기와 2~10개 장소의 여행코스 글, 댓글, 좋아요, 최신·좋아요·댓글순 정렬 및 장소·카테고리·키워드 필터 제공</t>
  </si>
  <si>
    <t>기존 익명 글은 조회 호환, 신규 작성과 수정·삭제는 회원 소유권으로 검증</t>
  </si>
  <si>
    <t>SQLite 근거형 Soul Chat</t>
  </si>
  <si>
    <t>사용자의 지역·관심분야·여행시간을 분석해 SQLite 검색 결과를 추천 카드로 반환하고 상세 보기·일정 추가 지원</t>
  </si>
  <si>
    <t>OpenAI 키가 있으면 AI 모드, 없거나 실패하면 검색 모드로 안전하게 폴백; GET /api/chat/status 제공</t>
  </si>
  <si>
    <t>나만의 서울 여행 플래너</t>
  </si>
  <si>
    <t>콘텐츠 상세·지도·챗봇 추천을 날짜별 일정에 담고 방문시간·메모·순서·날짜를 수정하거나 삭제</t>
  </si>
  <si>
    <t>선택기능 구현</t>
  </si>
  <si>
    <t>브라우저 UUID를 X-Planner-Id로 보내 SQLite 서버에 저장해 새로고침 후 복원; 계정 간 동기화는 제외</t>
  </si>
  <si>
    <t>기술 스택 및 REST API 연동</t>
  </si>
  <si>
    <t>Vue 3·Vite·Vue Router·Pinia 프론트엔드와 FastAPI·SQLAlchemy·SQLite 백엔드를 REST API로 연결</t>
  </si>
  <si>
    <t>2026-07-16 프론트 빌드 통과 및 핵심 API 6종 스모크 테스트 200 응답 확인</t>
  </si>
  <si>
    <t>전체 장소 지도</t>
  </si>
  <si>
    <t>좌표가 유효한 관광 콘텐츠를 카카오맵에 마커 클러스터로 표시하고 카테고리·지역·장소명 필터와 상세 이동 제공</t>
  </si>
  <si>
    <t>선택기능 확장</t>
  </si>
  <si>
    <t>Kakao JavaScript 키 필요; 키 누락·SDK 실패 시 설정 안내를 표시하고 지도 API 결과는 캐시</t>
  </si>
  <si>
    <t>실시간 서울 생활정보</t>
  </si>
  <si>
    <t>관광 콘텐츠를 서울 실시간 도시데이터 관측 지역과 연결해 혼잡도·추정 인구·따릉이·상권 정보를 상세 화면에 표시</t>
  </si>
  <si>
    <t>서울 실시간 도시데이터 활용</t>
  </si>
  <si>
    <t>선택적 외부 API 연동, 캐시·stale 응답·미지원 지역 안내로 실패 격리</t>
  </si>
  <si>
    <t>반응형 UI·테마·온보딩</t>
  </si>
  <si>
    <t>모바일·데스크톱 대응, 라이트/다크 테마 저장, 첫 방문 온보딩, 사이트 음악, 로딩·빈 결과·오류·재시도 UI 제공</t>
  </si>
  <si>
    <t>콘텐츠·지도·인증·커뮤니티·챗봇·플래너 등 주요 화면의 상태 UI 구현</t>
  </si>
  <si>
    <t>민감정보·외부 API 실패 대응</t>
  </si>
  <si>
    <t>OpenAI·서울 API 키는 backend/.env, Kakao JS 키는 frontend/.env에서 관리하고 .env·DB·dist는 Git에서 제외</t>
  </si>
  <si>
    <t>키 미설정 시 챗봇 검색 폴백, 지도·실시간 안내, 캐시 응답으로 핵심 흐름 유지</t>
  </si>
  <si>
    <t>소셜 로그인, 계정 간 플래너 동기화, 실시간 교통 최적경로·내비게이션, 실시간 알림, 다국어, 외부 날씨, 소셜 공유, 통계 대시보드</t>
  </si>
  <si>
    <t>운영 배포와 발표 자료는 아직 남은 작업으로 WBS에 별도 표시</t>
  </si>
  <si>
    <t>SeoulMySoulMate 선택기능 아이디어 및 구현 결과</t>
  </si>
  <si>
    <t>장소와 챗봇 추천을 날짜별 일정에 담고 시간·메모·순서를 SQLite 서버에 저장</t>
  </si>
  <si>
    <t>서울 관광 콘텐츠를 카카오맵 마커 클러스터로 표시하고 카테고리·지역·키워드 필터 제공</t>
  </si>
  <si>
    <t>장소별 혼잡도·추정 인구·따릉이·상권 정보를 서울 실시간 도시데이터와 연결</t>
  </si>
  <si>
    <t>회원 인증·권한 처리</t>
  </si>
  <si>
    <t>이메일 회원가입·로그인·세션 복원과 게시글·댓글 작성자 권한 검증</t>
  </si>
  <si>
    <t>여행코스 커뮤니티·좋아요</t>
  </si>
  <si>
    <t>장소 후기 외에 여러 장소 코스 글, 댓글·좋아요·인기순 정렬을 제공</t>
  </si>
  <si>
    <t>테마·온보딩·사이트 음악</t>
  </si>
  <si>
    <t>라이트/다크 모드, 첫 방문 소개 화면, 배경 음악과 반응형 상태 UI 제공</t>
  </si>
  <si>
    <t>실시간 교통 최적경로</t>
  </si>
  <si>
    <t>교통 데이터를 이용해 여러 장소의 최적 방문 순서와 내비게이션 경로 계산</t>
  </si>
  <si>
    <t>SeoulMySoulMate MVP 정의서 (구현 현황 반영)</t>
  </si>
  <si>
    <t>Must have (현재 구현 완료)</t>
  </si>
  <si>
    <t>관광정보 7종 6,518건을 SQLite에 적재하고 카테고리·지역·키워드 검색, 목록·상세·연관 게시글 제공</t>
  </si>
  <si>
    <t>이메일 회원 인증과 작성자 권한 검증, 장소 후기·여행코스·댓글 CRUD, 좋아요와 정렬·필터 구현</t>
  </si>
  <si>
    <t>FastAPI POST /api/chat과 Vue 채팅 UI 구현, SQLite 검색 근거 추천·대화 저장·추천 카드의 상세/일정 연결 제공</t>
  </si>
  <si>
    <t>Vue 3 SPA와 FastAPI REST API 연동, 콘텐츠·지도·인증·커뮤니티·챗봇·플래너 화면 및 반응형 상태 UI 구현</t>
  </si>
  <si>
    <t>Should / Could have (선정·구현 완료)</t>
  </si>
  <si>
    <t>Won't have (이번 범위에서 제외 또는 후속 작업)</t>
  </si>
  <si>
    <t>소셜 로그인과 계정 간 플래너 동기화</t>
  </si>
  <si>
    <t>실시간 알림·다국어·외부 날씨·소셜 공유·통계 대시보드·축제 캘린더</t>
  </si>
  <si>
    <t>SeoulMySoulMate WBS + 구현 현황 (2026-07-16 기준)</t>
  </si>
  <si>
    <t>WBS(작업분해구조) + 2026-07-16 코드 기준 구현 현황입니다.
- 기획·설계·개발·문서화 및 로컬 검증 완료
- 프론트 npm run build 통과, 핵심 API 6종 200 응답 확인
- 운영 배포와 발표 준비는 미완료로 남겨 실제 잔여 범위를 표시했습니다.</t>
  </si>
  <si>
    <t>요구사항 분석·서비스 콘셉트·MVP 현행화</t>
  </si>
  <si>
    <t>서울 관광 JSON 7종 분석·6,518건 적재 검증</t>
  </si>
  <si>
    <t>DB 스키마·인증/커뮤니티 마이그레이션 설계</t>
  </si>
  <si>
    <t>REST API·Vue 라우팅·반응형 UI 설계</t>
  </si>
  <si>
    <t>콘텐츠 적재·검색·상세·전체 지도 API</t>
  </si>
  <si>
    <t>회원 인증·후기/코스/댓글/좋아요 API</t>
  </si>
  <si>
    <t>Soul Chat·검색 폴백·실시간 서울 API</t>
  </si>
  <si>
    <t>콘텐츠 목록·상세·지도·실시간 UI</t>
  </si>
  <si>
    <t>인증·커뮤니티 목록/상세/작성 UI</t>
  </si>
  <si>
    <t>챗봇 UI·추천 카드·플래너 연결</t>
  </si>
  <si>
    <t>SQLite 저장 여행 플래너·일정 편집</t>
  </si>
  <si>
    <t>프론트 빌드·핵심 API 스모크 테스트</t>
  </si>
  <si>
    <t>README·데이터 출처·로컬 실행환경 정리 / 운영 배포</t>
  </si>
  <si>
    <t>요구사항·MVP·WBS 기획서 현행화</t>
  </si>
  <si>
    <t>시연 데이터·발표자료 제작·리허설</t>
  </si>
  <si>
    <t>완료</t>
  </si>
  <si>
    <t>진행중</t>
  </si>
  <si>
    <t>Bearer 토큰 인증</t>
  </si>
  <si>
    <t>로그인 후 받은 토큰을 Authorization 헤더로 보내는 방식. 서버에는 원본 대신 해시를 저장해 세션을 검증</t>
  </si>
  <si>
    <t>마커 클러스터링</t>
  </si>
  <si>
    <t>지도에서 가까운 여러 장소 마커를 숫자 아이콘으로 묶어 수천 개 위치도 알아보기 쉽게 만드는 방법</t>
  </si>
  <si>
    <r>
      <t>주요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기능들</t>
    </r>
    <r>
      <rPr>
        <sz val="11"/>
        <color theme="1"/>
        <rFont val="Calibri"/>
      </rPr>
      <t xml:space="preserve"> : </t>
    </r>
    <r>
      <rPr>
        <sz val="11"/>
        <color theme="1"/>
        <rFont val="돋움"/>
        <family val="3"/>
        <charset val="129"/>
      </rPr>
      <t>모든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사용해서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관광정보를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통합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제공할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했다</t>
    </r>
    <r>
      <rPr>
        <sz val="11"/>
        <color theme="1"/>
        <rFont val="Calibri"/>
      </rPr>
      <t>. (</t>
    </r>
    <r>
      <rPr>
        <sz val="11"/>
        <color theme="1"/>
        <rFont val="돋움"/>
        <family val="3"/>
        <charset val="129"/>
      </rPr>
      <t>이미지</t>
    </r>
    <r>
      <rPr>
        <sz val="11"/>
        <color theme="1"/>
        <rFont val="Calibri"/>
      </rPr>
      <t xml:space="preserve"> + </t>
    </r>
    <r>
      <rPr>
        <sz val="11"/>
        <color theme="1"/>
        <rFont val="돋움"/>
        <family val="3"/>
        <charset val="129"/>
      </rPr>
      <t>위치</t>
    </r>
    <r>
      <rPr>
        <sz val="11"/>
        <color theme="1"/>
        <rFont val="Calibri"/>
      </rPr>
      <t xml:space="preserve"> + </t>
    </r>
    <r>
      <rPr>
        <sz val="11"/>
        <color theme="1"/>
        <rFont val="돋움"/>
        <family val="3"/>
        <charset val="129"/>
      </rPr>
      <t>위치별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혼잡도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제공</t>
    </r>
    <r>
      <rPr>
        <sz val="11"/>
        <color theme="1"/>
        <rFont val="Calibri"/>
      </rPr>
      <t xml:space="preserve"> ), </t>
    </r>
    <r>
      <rPr>
        <sz val="11"/>
        <color theme="1"/>
        <rFont val="돋움"/>
        <family val="3"/>
        <charset val="129"/>
      </rPr>
      <t>여행계획</t>
    </r>
    <r>
      <rPr>
        <sz val="11"/>
        <color theme="1"/>
        <rFont val="Calibri"/>
      </rPr>
      <t>(</t>
    </r>
    <r>
      <rPr>
        <sz val="11"/>
        <color theme="1"/>
        <rFont val="돋움"/>
        <family val="3"/>
        <charset val="129"/>
      </rPr>
      <t>날짜</t>
    </r>
    <r>
      <rPr>
        <sz val="11"/>
        <color theme="1"/>
        <rFont val="Calibri"/>
      </rPr>
      <t xml:space="preserve"> +</t>
    </r>
    <r>
      <rPr>
        <sz val="11"/>
        <color theme="1"/>
        <rFont val="돋움"/>
        <family val="3"/>
        <charset val="129"/>
      </rPr>
      <t>시간</t>
    </r>
    <r>
      <rPr>
        <sz val="11"/>
        <color theme="1"/>
        <rFont val="Calibri"/>
      </rPr>
      <t>)</t>
    </r>
    <r>
      <rPr>
        <sz val="11"/>
        <color theme="1"/>
        <rFont val="돋움"/>
        <family val="3"/>
        <charset val="129"/>
      </rPr>
      <t>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함께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장소를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선택할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있음</t>
    </r>
    <r>
      <rPr>
        <sz val="11"/>
        <color theme="1"/>
        <rFont val="Calibri"/>
      </rPr>
      <t xml:space="preserve">. </t>
    </r>
  </si>
  <si>
    <r>
      <t>어디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가실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리뷰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많이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찾아보시죠</t>
    </r>
    <r>
      <rPr>
        <sz val="11"/>
        <color theme="1"/>
        <rFont val="Calibri"/>
      </rPr>
      <t xml:space="preserve">…???? </t>
    </r>
    <r>
      <rPr>
        <sz val="11"/>
        <color theme="1"/>
        <rFont val="돋움"/>
        <family val="3"/>
        <charset val="129"/>
      </rPr>
      <t>저희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서비스에서는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장소별</t>
    </r>
    <r>
      <rPr>
        <sz val="11"/>
        <color theme="1"/>
        <rFont val="Calibri"/>
      </rPr>
      <t>/</t>
    </r>
    <r>
      <rPr>
        <sz val="11"/>
        <color theme="1"/>
        <rFont val="돋움"/>
        <family val="3"/>
        <charset val="129"/>
      </rPr>
      <t>본인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여행코스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전체에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대해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리뷰를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작성할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있어서</t>
    </r>
    <r>
      <rPr>
        <sz val="11"/>
        <color theme="1"/>
        <rFont val="Calibri"/>
      </rPr>
      <t xml:space="preserve">. </t>
    </r>
    <r>
      <rPr>
        <sz val="11"/>
        <color theme="1"/>
        <rFont val="돋움"/>
        <family val="3"/>
        <charset val="129"/>
      </rPr>
      <t>사람들이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원하는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정보에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대해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넓은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시야를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가질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</rPr>
      <t>.</t>
    </r>
  </si>
  <si>
    <r>
      <t>전체지도에서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한눈에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각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컨텐츠가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위치한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장소</t>
    </r>
    <r>
      <rPr>
        <sz val="11"/>
        <color theme="1"/>
        <rFont val="Calibri"/>
      </rPr>
      <t xml:space="preserve"> / </t>
    </r>
    <r>
      <rPr>
        <sz val="11"/>
        <color theme="1"/>
        <rFont val="돋움"/>
        <family val="3"/>
        <charset val="129"/>
      </rPr>
      <t>혼잡도를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하여</t>
    </r>
    <r>
      <rPr>
        <sz val="11"/>
        <color theme="1"/>
        <rFont val="Calibri"/>
      </rPr>
      <t xml:space="preserve">, </t>
    </r>
    <r>
      <rPr>
        <sz val="11"/>
        <color theme="1"/>
        <rFont val="돋움"/>
        <family val="3"/>
        <charset val="129"/>
      </rPr>
      <t>장소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선택의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첫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단계가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효율적으로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이루어질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했다</t>
    </r>
    <r>
      <rPr>
        <sz val="11"/>
        <color theme="1"/>
        <rFont val="Calibri"/>
      </rPr>
      <t>.</t>
    </r>
  </si>
  <si>
    <r>
      <t>해당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사용률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유지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체류시간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향상을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위해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음악이나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코난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등장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등의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기능</t>
    </r>
    <r>
      <rPr>
        <sz val="11"/>
        <color theme="1"/>
        <rFont val="Calibri"/>
      </rPr>
      <t>/</t>
    </r>
    <r>
      <rPr>
        <sz val="11"/>
        <color theme="1"/>
        <rFont val="돋움"/>
        <family val="3"/>
        <charset val="129"/>
      </rPr>
      <t>재미요소를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추가했다</t>
    </r>
    <r>
      <rPr>
        <sz val="11"/>
        <color theme="1"/>
        <rFont val="Calibri"/>
      </rPr>
      <t>.</t>
    </r>
  </si>
  <si>
    <r>
      <t>챗봇이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어떻게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결과를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일관적으로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내뱉고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답할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없는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질문에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대해서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어떻게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대처를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하도록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설계를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했는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지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얘기하기</t>
    </r>
  </si>
  <si>
    <r>
      <t>어려웠던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점</t>
    </r>
    <r>
      <rPr>
        <sz val="11"/>
        <color theme="1"/>
        <rFont val="Calibri"/>
      </rPr>
      <t xml:space="preserve"> / </t>
    </r>
    <r>
      <rPr>
        <sz val="11"/>
        <color theme="1"/>
        <rFont val="돋움"/>
        <family val="3"/>
        <charset val="129"/>
      </rPr>
      <t>배운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점</t>
    </r>
    <r>
      <rPr>
        <sz val="11"/>
        <color theme="1"/>
        <rFont val="Calibri"/>
      </rPr>
      <t xml:space="preserve">/ </t>
    </r>
    <r>
      <rPr>
        <sz val="11"/>
        <color theme="1"/>
        <rFont val="돋움"/>
        <family val="3"/>
        <charset val="129"/>
      </rPr>
      <t>느낀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점</t>
    </r>
    <r>
      <rPr>
        <sz val="11"/>
        <color theme="1"/>
        <rFont val="Calibri"/>
      </rPr>
      <t xml:space="preserve"> / </t>
    </r>
    <r>
      <rPr>
        <sz val="11"/>
        <color theme="1"/>
        <rFont val="돋움"/>
        <family val="3"/>
        <charset val="129"/>
      </rPr>
      <t>소감한마디</t>
    </r>
    <r>
      <rPr>
        <sz val="11"/>
        <color theme="1"/>
        <rFont val="Calibri"/>
      </rPr>
      <t xml:space="preserve"> -&gt; </t>
    </r>
  </si>
  <si>
    <r>
      <rPr>
        <sz val="11"/>
        <color theme="1"/>
        <rFont val="맑은 고딕"/>
        <family val="3"/>
        <charset val="129"/>
      </rPr>
      <t>선정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구현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결과
</t>
    </r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맑은 고딕"/>
        <family val="3"/>
        <charset val="129"/>
      </rPr>
      <t>여행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플래너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날짜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메모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순서를</t>
    </r>
    <r>
      <rPr>
        <sz val="11"/>
        <color theme="1"/>
        <rFont val="Calibri"/>
        <family val="2"/>
      </rPr>
      <t xml:space="preserve"> SQLite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저장
</t>
    </r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맑은 고딕"/>
        <family val="3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장소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마커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클러스터와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필터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구현
</t>
    </r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맑은 고딕"/>
        <family val="3"/>
        <charset val="129"/>
      </rPr>
      <t>회원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인증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장소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코스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커뮤니티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좋아요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구현
</t>
    </r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맑은 고딕"/>
        <family val="3"/>
        <charset val="129"/>
      </rPr>
      <t>실시간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서울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정보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혼잡도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따릉이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상권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연결
</t>
    </r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맑은 고딕"/>
        <family val="3"/>
        <charset val="129"/>
      </rPr>
      <t>다크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모드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온보딩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사이트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음악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구현
</t>
    </r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맑은 고딕"/>
        <family val="3"/>
        <charset val="129"/>
      </rPr>
      <t>축제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캘린더와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교통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최적경로는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범위에서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제외</t>
    </r>
    <phoneticPr fontId="14" type="noConversion"/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</si>
  <si>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여행을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준비하는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관광객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주말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나들이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장소를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찾는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회원가입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공유하려는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이용자</t>
    </r>
    <phoneticPr fontId="14" type="noConversion"/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</si>
  <si>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Arial"/>
        <family val="2"/>
      </rPr>
      <t xml:space="preserve"> 7</t>
    </r>
    <r>
      <rPr>
        <sz val="10"/>
        <color rgb="FF222222"/>
        <rFont val="맑은 고딕"/>
        <family val="3"/>
        <charset val="129"/>
      </rPr>
      <t>종</t>
    </r>
    <r>
      <rPr>
        <sz val="10"/>
        <color rgb="FF222222"/>
        <rFont val="Arial"/>
        <family val="2"/>
      </rPr>
      <t xml:space="preserve"> 6,518</t>
    </r>
    <r>
      <rPr>
        <sz val="10"/>
        <color rgb="FF222222"/>
        <rFont val="맑은 고딕"/>
        <family val="3"/>
        <charset val="129"/>
      </rPr>
      <t>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적재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회원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CRUD·Soul Chat·</t>
    </r>
    <r>
      <rPr>
        <sz val="10"/>
        <color rgb="FF222222"/>
        <rFont val="맑은 고딕"/>
        <family val="3"/>
        <charset val="129"/>
      </rPr>
      <t>플래너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실시간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프론트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빌드와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핵심</t>
    </r>
    <r>
      <rPr>
        <sz val="10"/>
        <color rgb="FF222222"/>
        <rFont val="Arial"/>
        <family val="2"/>
      </rPr>
      <t xml:space="preserve"> API </t>
    </r>
    <r>
      <rPr>
        <sz val="10"/>
        <color rgb="FF222222"/>
        <rFont val="맑은 고딕"/>
        <family val="3"/>
        <charset val="129"/>
      </rPr>
      <t>스모크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통과</t>
    </r>
    <phoneticPr fontId="14" type="noConversion"/>
  </si>
  <si>
    <r>
      <rPr>
        <sz val="10"/>
        <color rgb="FF222222"/>
        <rFont val="맑은 고딕"/>
        <family val="3"/>
        <charset val="129"/>
      </rPr>
      <t>비밀번호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세션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토큰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해시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저장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환경변수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외부</t>
    </r>
    <r>
      <rPr>
        <sz val="10"/>
        <color rgb="FF222222"/>
        <rFont val="Arial"/>
        <family val="2"/>
      </rPr>
      <t xml:space="preserve"> API </t>
    </r>
    <r>
      <rPr>
        <sz val="10"/>
        <color rgb="FF222222"/>
        <rFont val="맑은 고딕"/>
        <family val="3"/>
        <charset val="129"/>
      </rPr>
      <t>누락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실패에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폴백과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캐시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처리</t>
    </r>
    <phoneticPr fontId="14" type="noConversion"/>
  </si>
  <si>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저장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플래너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맑은 고딕"/>
        <family val="3"/>
        <charset val="129"/>
      </rPr>
      <t>날짜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방문시간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메모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순서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날짜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변경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삭제</t>
    </r>
    <phoneticPr fontId="14" type="noConversion"/>
  </si>
  <si>
    <r>
      <rPr>
        <sz val="10"/>
        <color rgb="FF222222"/>
        <rFont val="맑은 고딕"/>
        <family val="3"/>
        <charset val="129"/>
      </rPr>
      <t>전체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장소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맑은 고딕"/>
        <family val="3"/>
        <charset val="129"/>
      </rPr>
      <t>카카오맵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마커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클러스터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카테고리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키워드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필터와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상세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연결</t>
    </r>
    <phoneticPr fontId="14" type="noConversion"/>
  </si>
  <si>
    <r>
      <rPr>
        <sz val="10"/>
        <color rgb="FF222222"/>
        <rFont val="맑은 고딕"/>
        <family val="3"/>
        <charset val="129"/>
      </rPr>
      <t>실시간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혼잡도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따릉이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상권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라이트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다크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테마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온보딩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사이트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음악</t>
    </r>
    <phoneticPr fontId="14" type="noConversion"/>
  </si>
  <si>
    <r>
      <t>사용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경험을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생각해서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진행했다…</t>
    </r>
    <r>
      <rPr>
        <sz val="11"/>
        <color theme="1"/>
        <rFont val="Calibri"/>
      </rPr>
      <t xml:space="preserve">.  </t>
    </r>
    <r>
      <rPr>
        <sz val="11"/>
        <color theme="1"/>
        <rFont val="돋움"/>
        <family val="3"/>
        <charset val="129"/>
      </rPr>
      <t>챗봇에서도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검색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결과에서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바로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캘린더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추가하고</t>
    </r>
    <r>
      <rPr>
        <sz val="11"/>
        <color theme="1"/>
        <rFont val="Calibri"/>
      </rPr>
      <t xml:space="preserve"> / </t>
    </r>
    <r>
      <rPr>
        <sz val="11"/>
        <color theme="1"/>
        <rFont val="돋움"/>
        <family val="3"/>
        <charset val="129"/>
      </rPr>
      <t>당장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가고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싶을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있어서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혼잡도도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보여줌</t>
    </r>
    <r>
      <rPr>
        <sz val="11"/>
        <color theme="1"/>
        <rFont val="Calibri"/>
      </rPr>
      <t xml:space="preserve"> / </t>
    </r>
    <r>
      <rPr>
        <sz val="11"/>
        <color theme="1"/>
        <rFont val="돋움"/>
        <family val="3"/>
        <charset val="129"/>
      </rPr>
      <t>자치구에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대한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혼잡도를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보여줘서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여행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목적에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맞는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장소를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적절하게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선택할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했다</t>
    </r>
    <r>
      <rPr>
        <sz val="11"/>
        <color theme="1"/>
        <rFont val="Calibri"/>
      </rPr>
      <t xml:space="preserve">. </t>
    </r>
    <r>
      <rPr>
        <sz val="11"/>
        <color theme="1"/>
        <rFont val="돋움"/>
        <family val="3"/>
        <charset val="129"/>
      </rPr>
      <t>플랜을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짜는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과정을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자연스럽게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이어나갈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고민을</t>
    </r>
    <r>
      <rPr>
        <sz val="11"/>
        <color theme="1"/>
        <rFont val="Calibri"/>
      </rPr>
      <t xml:space="preserve"> </t>
    </r>
    <r>
      <rPr>
        <sz val="11"/>
        <color theme="1"/>
        <rFont val="돋움"/>
        <family val="3"/>
        <charset val="129"/>
      </rPr>
      <t>많이했습니다</t>
    </r>
    <r>
      <rPr>
        <sz val="11"/>
        <color theme="1"/>
        <rFont val="Calibri"/>
      </rPr>
      <t>.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</si>
</sst>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Day &quot;0"/>
    <numFmt numFmtId="177" formatCode=";;;"/>
    <numFmt numFmtId="178" formatCode="0&quot;%&quot;"/>
  </numFmts>
  <fonts count="48">
    <font>
      <sz val="11"/>
      <color theme="1"/>
      <name val="Calibri"/>
    </font>
    <font>
      <b/>
      <sz val="10"/>
      <color rgb="FF222222"/>
      <name val="Noto Sans CJK SC"/>
    </font>
    <font>
      <sz val="10"/>
      <color rgb="FF222222"/>
      <name val="Noto Sans CJK SC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</font>
    <font>
      <b/>
      <sz val="10"/>
      <color rgb="FFFFFFFF"/>
      <name val="Noto Sans CJK SC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0"/>
      <color rgb="FF222222"/>
      <name val="Noto Sans CJK SC"/>
    </font>
    <font>
      <b/>
      <sz val="10"/>
      <color rgb="FF222222"/>
      <name val="맑은 고딕"/>
      <family val="3"/>
      <charset val="129"/>
    </font>
    <font>
      <sz val="10"/>
      <color rgb="FF222222"/>
      <name val="Noto Sans CJK SC"/>
    </font>
    <font>
      <sz val="10"/>
      <color rgb="FF222222"/>
      <name val="맑은 고딕"/>
      <family val="3"/>
      <charset val="129"/>
    </font>
    <font>
      <b/>
      <sz val="10"/>
      <color rgb="FF222222"/>
      <name val="Arial"/>
      <family val="2"/>
    </font>
    <font>
      <sz val="11"/>
      <color theme="1"/>
      <name val="맑은 고딕"/>
      <family val="3"/>
      <charset val="129"/>
    </font>
    <font>
      <b/>
      <sz val="10"/>
      <color rgb="FF222222"/>
      <name val="맑은 고딕"/>
      <family val="3"/>
    </font>
    <font>
      <b/>
      <sz val="10"/>
      <color rgb="FF222222"/>
      <name val="맑은 고딕"/>
      <family val="2"/>
    </font>
    <font>
      <sz val="10"/>
      <color rgb="FF222222"/>
      <name val="맑은 고딕"/>
      <family val="3"/>
    </font>
    <font>
      <sz val="10"/>
      <color rgb="FF222222"/>
      <name val="Noto Sans CJK SC"/>
      <family val="2"/>
    </font>
    <font>
      <b/>
      <sz val="10"/>
      <color rgb="FF222222"/>
      <name val="Noto Sans CJK SC"/>
      <family val="2"/>
    </font>
    <font>
      <sz val="10"/>
      <color rgb="FF222222"/>
      <name val="맑은 고딕"/>
      <family val="2"/>
    </font>
    <font>
      <sz val="10"/>
      <color rgb="FF222222"/>
      <name val="Noto Sans CJK SC"/>
      <family val="3"/>
    </font>
    <font>
      <b/>
      <sz val="10"/>
      <color rgb="FF222222"/>
      <name val="Segoe UI Symbol"/>
      <family val="1"/>
    </font>
    <font>
      <sz val="11"/>
      <color theme="1"/>
      <name val="Calibri"/>
      <family val="2"/>
    </font>
    <font>
      <sz val="8"/>
      <color rgb="FF222222"/>
      <name val="Calibri"/>
      <family val="2"/>
    </font>
    <font>
      <sz val="8"/>
      <color rgb="FF222222"/>
      <name val="맑은 고딕"/>
      <family val="3"/>
    </font>
    <font>
      <b/>
      <sz val="8"/>
      <color rgb="FF222222"/>
      <name val="Arial"/>
      <family val="2"/>
    </font>
    <font>
      <b/>
      <sz val="8"/>
      <color rgb="FF222222"/>
      <name val="맑은 고딕"/>
      <family val="3"/>
    </font>
    <font>
      <sz val="8"/>
      <color theme="1"/>
      <name val="Calibri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rgb="FF222222"/>
      <name val="Noto Sans CJK SC"/>
      <family val="3"/>
      <charset val="129"/>
    </font>
    <font>
      <sz val="9"/>
      <color rgb="FF222222"/>
      <name val="Arial"/>
      <family val="3"/>
      <charset val="129"/>
    </font>
    <font>
      <sz val="11"/>
      <color theme="1"/>
      <name val="Calibri"/>
      <family val="3"/>
      <charset val="129"/>
    </font>
    <font>
      <sz val="10"/>
      <color rgb="FF222222"/>
      <name val="Arial"/>
      <family val="3"/>
      <charset val="129"/>
    </font>
    <font>
      <sz val="10"/>
      <name val="Arial"/>
      <family val="2"/>
    </font>
    <font>
      <b/>
      <sz val="8"/>
      <color rgb="FFFFFFFF"/>
      <name val="Arial"/>
      <family val="2"/>
    </font>
    <font>
      <sz val="11"/>
      <color theme="1"/>
      <name val="돋움"/>
      <family val="3"/>
      <charset val="129"/>
    </font>
    <font>
      <sz val="10"/>
      <color rgb="FF222222"/>
      <name val="Noto Sans CJK S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2F2F2"/>
      </patternFill>
    </fill>
    <fill>
      <patternFill patternType="solid">
        <fgColor rgb="FFCADCFC"/>
      </patternFill>
    </fill>
    <fill>
      <patternFill patternType="solid">
        <fgColor rgb="FFF5C6C6"/>
      </patternFill>
    </fill>
    <fill>
      <patternFill patternType="solid">
        <fgColor rgb="FFFCE9B0"/>
      </patternFill>
    </fill>
    <fill>
      <patternFill patternType="solid">
        <fgColor rgb="FFD9EAD3"/>
      </patternFill>
    </fill>
    <fill>
      <patternFill patternType="solid">
        <fgColor rgb="FFF8CBAD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E4D6F0"/>
      </patternFill>
    </fill>
    <fill>
      <patternFill patternType="solid">
        <fgColor rgb="FFD0E0E3"/>
      </patternFill>
    </fill>
    <fill>
      <patternFill patternType="solid">
        <fgColor rgb="FFF9E4B7"/>
      </patternFill>
    </fill>
    <fill>
      <patternFill patternType="solid">
        <fgColor rgb="FF028090"/>
      </patternFill>
    </fill>
    <fill>
      <patternFill patternType="solid">
        <fgColor rgb="FF1E2761"/>
        <bgColor rgb="FF222222"/>
      </patternFill>
    </fill>
    <fill>
      <patternFill patternType="solid">
        <fgColor rgb="FFCADCFC"/>
        <bgColor rgb="FFD0E0E3"/>
      </patternFill>
    </fill>
    <fill>
      <patternFill patternType="solid">
        <fgColor rgb="FFFCE5CD"/>
        <bgColor rgb="FFF9E4B7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D0E0E3"/>
        <bgColor rgb="FFCADCFC"/>
      </patternFill>
    </fill>
    <fill>
      <patternFill patternType="solid">
        <fgColor rgb="FFE4D6F0"/>
        <bgColor rgb="FFD0E0E3"/>
      </patternFill>
    </fill>
    <fill>
      <patternFill patternType="solid">
        <fgColor rgb="FFF9E4B7"/>
        <bgColor rgb="FFFCE9B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0" borderId="0" xfId="0" applyFont="1"/>
    <xf numFmtId="0" fontId="0" fillId="0" borderId="0" xfId="0"/>
    <xf numFmtId="0" fontId="2" fillId="0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  <xf numFmtId="177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8" fillId="15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9" fillId="15" borderId="6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40" fillId="0" borderId="1" xfId="0" applyNumberFormat="1" applyFont="1" applyFill="1" applyBorder="1" applyAlignment="1">
      <alignment horizontal="left" vertical="center" wrapText="1"/>
    </xf>
    <xf numFmtId="0" fontId="41" fillId="0" borderId="1" xfId="0" applyNumberFormat="1" applyFont="1" applyFill="1" applyBorder="1" applyAlignment="1">
      <alignment horizontal="left" vertical="center" wrapText="1"/>
    </xf>
    <xf numFmtId="0" fontId="27" fillId="16" borderId="6" xfId="0" applyFont="1" applyFill="1" applyBorder="1" applyAlignment="1">
      <alignment horizontal="center" vertical="center" wrapText="1"/>
    </xf>
    <xf numFmtId="0" fontId="27" fillId="17" borderId="6" xfId="0" applyFont="1" applyFill="1" applyBorder="1" applyAlignment="1">
      <alignment horizontal="center" vertical="center" wrapText="1"/>
    </xf>
    <xf numFmtId="0" fontId="27" fillId="18" borderId="6" xfId="0" applyFont="1" applyFill="1" applyBorder="1" applyAlignment="1">
      <alignment horizontal="center" vertical="center" wrapText="1"/>
    </xf>
    <xf numFmtId="0" fontId="27" fillId="19" borderId="6" xfId="0" applyFont="1" applyFill="1" applyBorder="1" applyAlignment="1">
      <alignment horizontal="center" vertical="center" wrapText="1"/>
    </xf>
    <xf numFmtId="0" fontId="27" fillId="20" borderId="6" xfId="0" applyFont="1" applyFill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/>
    </xf>
    <xf numFmtId="0" fontId="27" fillId="21" borderId="6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176" fontId="45" fillId="15" borderId="6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7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36" fillId="0" borderId="4" xfId="0" applyFont="1" applyBorder="1"/>
    <xf numFmtId="0" fontId="36" fillId="0" borderId="3" xfId="0" applyFont="1" applyBorder="1"/>
    <xf numFmtId="0" fontId="15" fillId="0" borderId="1" xfId="0" applyFont="1" applyBorder="1" applyAlignment="1">
      <alignment horizontal="left" vertical="center" wrapText="1"/>
    </xf>
    <xf numFmtId="0" fontId="42" fillId="0" borderId="2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Fill="1" applyBorder="1" applyAlignment="1">
      <alignment horizontal="left" vertical="center" wrapText="1"/>
    </xf>
    <xf numFmtId="0" fontId="0" fillId="0" borderId="3" xfId="0" applyNumberFormat="1" applyFont="1" applyFill="1" applyBorder="1" applyAlignment="1">
      <alignment horizontal="left" vertical="center" wrapText="1"/>
    </xf>
    <xf numFmtId="0" fontId="43" fillId="0" borderId="2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4" fillId="9" borderId="2" xfId="0" applyNumberFormat="1" applyFont="1" applyFill="1" applyBorder="1" applyAlignment="1">
      <alignment horizontal="left" wrapText="1"/>
    </xf>
    <xf numFmtId="0" fontId="4" fillId="9" borderId="3" xfId="0" applyNumberFormat="1" applyFont="1" applyFill="1" applyBorder="1" applyAlignment="1">
      <alignment horizontal="left" wrapText="1"/>
    </xf>
    <xf numFmtId="0" fontId="4" fillId="7" borderId="2" xfId="0" applyNumberFormat="1" applyFont="1" applyFill="1" applyBorder="1" applyAlignment="1">
      <alignment horizontal="left" wrapText="1"/>
    </xf>
    <xf numFmtId="0" fontId="4" fillId="7" borderId="3" xfId="0" applyNumberFormat="1" applyFont="1" applyFill="1" applyBorder="1" applyAlignment="1">
      <alignment horizontal="left" wrapText="1"/>
    </xf>
    <xf numFmtId="0" fontId="4" fillId="8" borderId="2" xfId="0" applyNumberFormat="1" applyFont="1" applyFill="1" applyBorder="1" applyAlignment="1">
      <alignment horizontal="left" wrapText="1"/>
    </xf>
    <xf numFmtId="0" fontId="4" fillId="8" borderId="3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8" fillId="3" borderId="5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8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6" fillId="0" borderId="0" xfId="0" applyFont="1"/>
    <xf numFmtId="0" fontId="47" fillId="0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3">
    <dxf>
      <fill>
        <patternFill patternType="solid">
          <fgColor rgb="FF028090"/>
          <bgColor rgb="FF028090"/>
        </patternFill>
      </fill>
    </dxf>
    <dxf>
      <font>
        <color rgb="FF008C95"/>
      </font>
      <fill>
        <patternFill patternType="solid">
          <bgColor rgb="FF008C95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52" t="s">
        <v>154</v>
      </c>
      <c r="C2" s="52"/>
    </row>
    <row r="4" spans="2:3" ht="19.5" customHeight="1">
      <c r="B4" s="9" t="s">
        <v>0</v>
      </c>
      <c r="C4" s="10" t="s">
        <v>1</v>
      </c>
    </row>
    <row r="5" spans="2:3" ht="36.950000000000003" customHeight="1">
      <c r="B5" s="1" t="s">
        <v>2</v>
      </c>
      <c r="C5" s="10" t="s">
        <v>155</v>
      </c>
    </row>
    <row r="6" spans="2:3" ht="19.5" customHeight="1">
      <c r="B6" s="1" t="s">
        <v>3</v>
      </c>
      <c r="C6" s="3" t="s">
        <v>4</v>
      </c>
    </row>
    <row r="7" spans="2:3" ht="19.5" customHeight="1">
      <c r="B7" s="1" t="s">
        <v>5</v>
      </c>
      <c r="C7" s="3" t="s">
        <v>6</v>
      </c>
    </row>
    <row r="9" spans="2:3" ht="15" customHeight="1">
      <c r="B9" s="48" t="s">
        <v>156</v>
      </c>
      <c r="C9" s="49"/>
    </row>
    <row r="10" spans="2:3" ht="27">
      <c r="B10" s="4" t="s">
        <v>7</v>
      </c>
      <c r="C10" s="10" t="s">
        <v>8</v>
      </c>
    </row>
    <row r="11" spans="2:3">
      <c r="B11" s="4" t="s">
        <v>9</v>
      </c>
      <c r="C11" s="10" t="s">
        <v>157</v>
      </c>
    </row>
    <row r="12" spans="2:3" ht="33.75" customHeight="1">
      <c r="B12" s="4" t="s">
        <v>10</v>
      </c>
      <c r="C12" s="2" t="s">
        <v>158</v>
      </c>
    </row>
    <row r="13" spans="2:3" ht="33.75" customHeight="1">
      <c r="B13" s="4" t="s">
        <v>11</v>
      </c>
      <c r="C13" s="3" t="s">
        <v>159</v>
      </c>
    </row>
    <row r="14" spans="2:3" ht="33.75" customHeight="1">
      <c r="B14" s="4" t="s">
        <v>12</v>
      </c>
      <c r="C14" s="2" t="s">
        <v>160</v>
      </c>
    </row>
    <row r="15" spans="2:3" ht="33.75" customHeight="1">
      <c r="B15" s="4" t="s">
        <v>13</v>
      </c>
      <c r="C15" s="10" t="s">
        <v>14</v>
      </c>
    </row>
    <row r="17" spans="2:3" ht="15" customHeight="1">
      <c r="B17" s="50" t="s">
        <v>15</v>
      </c>
      <c r="C17" s="51"/>
    </row>
    <row r="18" spans="2:3" ht="27.75" customHeight="1">
      <c r="B18" s="53" t="s">
        <v>16</v>
      </c>
      <c r="C18" s="54"/>
    </row>
    <row r="19" spans="2:3" ht="27.75" customHeight="1">
      <c r="B19" s="46" t="s">
        <v>17</v>
      </c>
      <c r="C19" s="47"/>
    </row>
    <row r="20" spans="2:3" ht="27.75" customHeight="1">
      <c r="B20" s="46" t="s">
        <v>18</v>
      </c>
      <c r="C20" s="47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7" t="s">
        <v>19</v>
      </c>
      <c r="C2" s="58"/>
      <c r="D2" s="58"/>
      <c r="E2" s="58"/>
      <c r="F2" s="58"/>
    </row>
    <row r="4" spans="2:10" ht="19.5" customHeight="1">
      <c r="B4" s="6" t="s">
        <v>20</v>
      </c>
      <c r="C4" s="6" t="s">
        <v>21</v>
      </c>
      <c r="D4" s="6" t="s">
        <v>22</v>
      </c>
      <c r="E4" s="6" t="s">
        <v>23</v>
      </c>
      <c r="F4" s="7" t="s">
        <v>24</v>
      </c>
    </row>
    <row r="5" spans="2:10" ht="129.75" customHeight="1">
      <c r="B5" s="12" t="s">
        <v>25</v>
      </c>
      <c r="C5" s="13" t="s">
        <v>26</v>
      </c>
      <c r="D5" s="10" t="s">
        <v>27</v>
      </c>
      <c r="E5" s="14" t="s">
        <v>28</v>
      </c>
      <c r="F5" s="13" t="s">
        <v>29</v>
      </c>
    </row>
    <row r="6" spans="2:10" ht="129.75" customHeight="1">
      <c r="B6" s="12" t="s">
        <v>30</v>
      </c>
      <c r="C6" s="13" t="s">
        <v>31</v>
      </c>
      <c r="D6" s="10" t="s">
        <v>32</v>
      </c>
      <c r="E6" s="13" t="s">
        <v>33</v>
      </c>
      <c r="F6" s="13" t="s">
        <v>34</v>
      </c>
    </row>
    <row r="7" spans="2:10" ht="129.75" customHeight="1">
      <c r="B7" s="12" t="s">
        <v>35</v>
      </c>
      <c r="C7" s="5" t="s">
        <v>36</v>
      </c>
      <c r="D7" s="11" t="s">
        <v>37</v>
      </c>
      <c r="E7" s="5" t="s">
        <v>38</v>
      </c>
      <c r="F7" s="5" t="s">
        <v>39</v>
      </c>
      <c r="J7" s="16" t="s">
        <v>40</v>
      </c>
    </row>
    <row r="8" spans="2:10" ht="129.75" customHeight="1">
      <c r="B8" s="15" t="s">
        <v>41</v>
      </c>
      <c r="C8" s="5" t="s">
        <v>42</v>
      </c>
      <c r="D8" s="10" t="s">
        <v>43</v>
      </c>
      <c r="E8" s="13" t="s">
        <v>44</v>
      </c>
      <c r="F8" s="5" t="s">
        <v>45</v>
      </c>
    </row>
    <row r="9" spans="2:10" ht="14.1" customHeight="1"/>
    <row r="10" spans="2:10" ht="15" customHeight="1">
      <c r="B10" s="59" t="s">
        <v>46</v>
      </c>
      <c r="C10" s="56"/>
      <c r="D10" s="56"/>
      <c r="E10" s="56"/>
      <c r="F10" s="49"/>
    </row>
    <row r="11" spans="2:10" ht="24" customHeight="1">
      <c r="B11" s="5" t="s">
        <v>47</v>
      </c>
      <c r="C11" s="55" t="s">
        <v>48</v>
      </c>
      <c r="D11" s="56"/>
      <c r="E11" s="56"/>
      <c r="F11" s="56"/>
    </row>
    <row r="12" spans="2:10" ht="24" customHeight="1">
      <c r="B12" s="5" t="s">
        <v>47</v>
      </c>
      <c r="C12" s="55" t="s">
        <v>49</v>
      </c>
      <c r="D12" s="56"/>
      <c r="E12" s="56"/>
      <c r="F12" s="56"/>
    </row>
    <row r="13" spans="2:10" ht="24" customHeight="1">
      <c r="B13" s="5" t="s">
        <v>47</v>
      </c>
      <c r="C13" s="55" t="s">
        <v>50</v>
      </c>
      <c r="D13" s="56"/>
      <c r="E13" s="56"/>
      <c r="F13" s="56"/>
    </row>
  </sheetData>
  <mergeCells count="5">
    <mergeCell ref="C13:F13"/>
    <mergeCell ref="B2:F2"/>
    <mergeCell ref="B10:F10"/>
    <mergeCell ref="C11:F11"/>
    <mergeCell ref="C12:F12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K22"/>
  <sheetViews>
    <sheetView showGridLines="0" tabSelected="1" topLeftCell="A4" workbookViewId="0">
      <selection activeCell="K7" sqref="K7:K13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36.42578125" customWidth="1"/>
  </cols>
  <sheetData>
    <row r="2" spans="2:11" ht="30" customHeight="1">
      <c r="B2" s="60" t="s">
        <v>161</v>
      </c>
      <c r="C2" s="58"/>
      <c r="D2" s="58"/>
      <c r="E2" s="58"/>
      <c r="F2" s="58"/>
    </row>
    <row r="3" spans="2:11" ht="28.35" customHeight="1">
      <c r="B3" s="61" t="s">
        <v>142</v>
      </c>
      <c r="C3" s="62"/>
      <c r="D3" s="62"/>
      <c r="E3" s="62"/>
      <c r="F3" s="63"/>
    </row>
    <row r="4" spans="2:11" ht="35.65" customHeight="1">
      <c r="B4" s="29" t="s">
        <v>51</v>
      </c>
      <c r="C4" s="29" t="s">
        <v>52</v>
      </c>
      <c r="D4" s="29" t="s">
        <v>53</v>
      </c>
      <c r="E4" s="29" t="s">
        <v>144</v>
      </c>
      <c r="F4" s="28" t="s">
        <v>143</v>
      </c>
    </row>
    <row r="5" spans="2:11" ht="66" customHeight="1">
      <c r="B5" s="23" t="s">
        <v>119</v>
      </c>
      <c r="C5" s="27" t="s">
        <v>162</v>
      </c>
      <c r="D5" s="27" t="s">
        <v>163</v>
      </c>
      <c r="E5" s="27" t="s">
        <v>164</v>
      </c>
      <c r="F5" s="27" t="s">
        <v>165</v>
      </c>
    </row>
    <row r="6" spans="2:11" ht="66" customHeight="1">
      <c r="B6" s="23" t="s">
        <v>119</v>
      </c>
      <c r="C6" s="27" t="s">
        <v>166</v>
      </c>
      <c r="D6" s="27" t="s">
        <v>167</v>
      </c>
      <c r="E6" s="27" t="s">
        <v>168</v>
      </c>
      <c r="F6" s="27" t="s">
        <v>169</v>
      </c>
    </row>
    <row r="7" spans="2:11" ht="66" customHeight="1">
      <c r="B7" s="23" t="s">
        <v>119</v>
      </c>
      <c r="C7" s="27" t="s">
        <v>170</v>
      </c>
      <c r="D7" s="27" t="s">
        <v>171</v>
      </c>
      <c r="E7" s="27" t="s">
        <v>172</v>
      </c>
      <c r="F7" s="27" t="s">
        <v>173</v>
      </c>
      <c r="K7" s="98" t="s">
        <v>261</v>
      </c>
    </row>
    <row r="8" spans="2:11" ht="66" customHeight="1">
      <c r="B8" s="23" t="s">
        <v>119</v>
      </c>
      <c r="C8" s="27" t="s">
        <v>174</v>
      </c>
      <c r="D8" s="27" t="s">
        <v>175</v>
      </c>
      <c r="E8" s="27" t="s">
        <v>120</v>
      </c>
      <c r="F8" s="27" t="s">
        <v>176</v>
      </c>
      <c r="K8" s="98" t="s">
        <v>248</v>
      </c>
    </row>
    <row r="9" spans="2:11" ht="66" customHeight="1">
      <c r="B9" s="23" t="s">
        <v>119</v>
      </c>
      <c r="C9" s="27" t="s">
        <v>177</v>
      </c>
      <c r="D9" s="27" t="s">
        <v>178</v>
      </c>
      <c r="E9" s="27" t="s">
        <v>121</v>
      </c>
      <c r="F9" s="27" t="s">
        <v>179</v>
      </c>
      <c r="K9" s="98" t="s">
        <v>249</v>
      </c>
    </row>
    <row r="10" spans="2:11" ht="66" customHeight="1">
      <c r="B10" s="23" t="s">
        <v>123</v>
      </c>
      <c r="C10" s="27" t="s">
        <v>180</v>
      </c>
      <c r="D10" s="27" t="s">
        <v>181</v>
      </c>
      <c r="E10" s="27" t="s">
        <v>182</v>
      </c>
      <c r="F10" s="27" t="s">
        <v>183</v>
      </c>
      <c r="K10" s="98" t="s">
        <v>250</v>
      </c>
    </row>
    <row r="11" spans="2:11" ht="66" customHeight="1">
      <c r="B11" s="23" t="s">
        <v>119</v>
      </c>
      <c r="C11" s="27" t="s">
        <v>184</v>
      </c>
      <c r="D11" s="27" t="s">
        <v>185</v>
      </c>
      <c r="E11" s="27" t="s">
        <v>122</v>
      </c>
      <c r="F11" s="27" t="s">
        <v>186</v>
      </c>
      <c r="K11" s="98" t="s">
        <v>251</v>
      </c>
    </row>
    <row r="12" spans="2:11" ht="66" customHeight="1">
      <c r="B12" s="23" t="s">
        <v>126</v>
      </c>
      <c r="C12" s="27" t="s">
        <v>187</v>
      </c>
      <c r="D12" s="27" t="s">
        <v>188</v>
      </c>
      <c r="E12" s="27" t="s">
        <v>189</v>
      </c>
      <c r="F12" s="27" t="s">
        <v>190</v>
      </c>
      <c r="K12" s="98" t="s">
        <v>252</v>
      </c>
    </row>
    <row r="13" spans="2:11" ht="66" customHeight="1">
      <c r="B13" s="23" t="s">
        <v>126</v>
      </c>
      <c r="C13" s="27" t="s">
        <v>191</v>
      </c>
      <c r="D13" s="27" t="s">
        <v>192</v>
      </c>
      <c r="E13" s="27" t="s">
        <v>193</v>
      </c>
      <c r="F13" s="27" t="s">
        <v>194</v>
      </c>
      <c r="K13" s="98" t="s">
        <v>253</v>
      </c>
    </row>
    <row r="14" spans="2:11" ht="66" customHeight="1">
      <c r="B14" s="23" t="s">
        <v>126</v>
      </c>
      <c r="C14" s="27" t="s">
        <v>195</v>
      </c>
      <c r="D14" s="27" t="s">
        <v>196</v>
      </c>
      <c r="E14" s="27" t="s">
        <v>127</v>
      </c>
      <c r="F14" s="27" t="s">
        <v>197</v>
      </c>
    </row>
    <row r="15" spans="2:11" ht="66" customHeight="1">
      <c r="B15" s="23" t="s">
        <v>124</v>
      </c>
      <c r="C15" s="27" t="s">
        <v>198</v>
      </c>
      <c r="D15" s="27" t="s">
        <v>199</v>
      </c>
      <c r="E15" s="27" t="s">
        <v>125</v>
      </c>
      <c r="F15" s="27" t="s">
        <v>200</v>
      </c>
    </row>
    <row r="16" spans="2:11" ht="66" customHeight="1">
      <c r="B16" s="23" t="s">
        <v>128</v>
      </c>
      <c r="C16" s="27" t="s">
        <v>129</v>
      </c>
      <c r="D16" s="27" t="s">
        <v>201</v>
      </c>
      <c r="E16" s="27" t="s">
        <v>130</v>
      </c>
      <c r="F16" s="27" t="s">
        <v>202</v>
      </c>
    </row>
    <row r="17" ht="30" customHeight="1"/>
    <row r="18" ht="30" customHeight="1"/>
    <row r="19" ht="30" customHeight="1"/>
    <row r="20" ht="30" customHeight="1"/>
    <row r="21" ht="30" customHeight="1"/>
    <row r="22" ht="30" customHeight="1"/>
  </sheetData>
  <mergeCells count="2">
    <mergeCell ref="B2:F2"/>
    <mergeCell ref="B3:F3"/>
  </mergeCells>
  <phoneticPr fontId="14" type="noConversion"/>
  <dataValidations count="1">
    <dataValidation type="list" allowBlank="1" sqref="B5:B16" xr:uid="{00000000-0002-0000-0200-000000000000}">
      <formula1>"Must,Should,Could,Won't,제약"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4"/>
  <sheetViews>
    <sheetView showGridLines="0" workbookViewId="0">
      <selection activeCell="K14" sqref="K14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7" t="s">
        <v>203</v>
      </c>
      <c r="C2" s="58"/>
      <c r="D2" s="58"/>
      <c r="E2" s="58"/>
      <c r="F2" s="58"/>
      <c r="G2" s="58"/>
      <c r="H2" s="58"/>
    </row>
    <row r="3" spans="2:8" ht="72.400000000000006" customHeight="1">
      <c r="B3" s="64" t="s">
        <v>54</v>
      </c>
      <c r="C3" s="56"/>
      <c r="D3" s="56"/>
      <c r="E3" s="56"/>
      <c r="F3" s="56"/>
      <c r="G3" s="56"/>
      <c r="H3" s="49"/>
    </row>
    <row r="4" spans="2:8" ht="31.5" customHeight="1">
      <c r="B4" s="31" t="s">
        <v>55</v>
      </c>
      <c r="C4" s="31" t="s">
        <v>56</v>
      </c>
      <c r="D4" s="31" t="s">
        <v>146</v>
      </c>
      <c r="E4" s="31" t="s">
        <v>147</v>
      </c>
      <c r="F4" s="31" t="s">
        <v>148</v>
      </c>
      <c r="G4" s="31" t="s">
        <v>57</v>
      </c>
      <c r="H4" s="31" t="s">
        <v>58</v>
      </c>
    </row>
    <row r="5" spans="2:8" ht="33.75" customHeight="1">
      <c r="B5" s="8" t="s">
        <v>180</v>
      </c>
      <c r="C5" s="35" t="s">
        <v>204</v>
      </c>
      <c r="D5" s="5">
        <v>3</v>
      </c>
      <c r="E5" s="5">
        <v>5</v>
      </c>
      <c r="F5" s="5">
        <v>5</v>
      </c>
      <c r="G5" s="5">
        <f t="shared" ref="G5:G12" si="0">IF(OR(E5="",F5=""),"",E5*F5*2)</f>
        <v>50</v>
      </c>
      <c r="H5" s="5" t="s">
        <v>131</v>
      </c>
    </row>
    <row r="6" spans="2:8" ht="33.75" customHeight="1">
      <c r="B6" s="8" t="s">
        <v>187</v>
      </c>
      <c r="C6" s="32" t="s">
        <v>205</v>
      </c>
      <c r="D6" s="5">
        <v>3</v>
      </c>
      <c r="E6" s="5">
        <v>4</v>
      </c>
      <c r="F6" s="5">
        <v>5</v>
      </c>
      <c r="G6" s="5">
        <f t="shared" si="0"/>
        <v>40</v>
      </c>
      <c r="H6" s="5" t="s">
        <v>131</v>
      </c>
    </row>
    <row r="7" spans="2:8" ht="33.75" customHeight="1">
      <c r="B7" s="8" t="s">
        <v>191</v>
      </c>
      <c r="C7" s="32" t="s">
        <v>206</v>
      </c>
      <c r="D7" s="5">
        <v>4</v>
      </c>
      <c r="E7" s="5">
        <v>3</v>
      </c>
      <c r="F7" s="5">
        <v>5</v>
      </c>
      <c r="G7" s="5">
        <f t="shared" si="0"/>
        <v>30</v>
      </c>
      <c r="H7" s="5" t="s">
        <v>131</v>
      </c>
    </row>
    <row r="8" spans="2:8" ht="33.75" customHeight="1">
      <c r="B8" s="8" t="s">
        <v>207</v>
      </c>
      <c r="C8" s="34" t="s">
        <v>208</v>
      </c>
      <c r="D8" s="5">
        <v>4</v>
      </c>
      <c r="E8" s="5">
        <v>3</v>
      </c>
      <c r="F8" s="5">
        <v>5</v>
      </c>
      <c r="G8" s="5">
        <f t="shared" si="0"/>
        <v>30</v>
      </c>
      <c r="H8" s="5" t="s">
        <v>131</v>
      </c>
    </row>
    <row r="9" spans="2:8" ht="33.75" customHeight="1">
      <c r="B9" s="8" t="s">
        <v>209</v>
      </c>
      <c r="C9" s="33" t="s">
        <v>210</v>
      </c>
      <c r="D9" s="5">
        <v>3</v>
      </c>
      <c r="E9" s="5">
        <v>4</v>
      </c>
      <c r="F9" s="5">
        <v>4</v>
      </c>
      <c r="G9" s="5">
        <f t="shared" si="0"/>
        <v>32</v>
      </c>
      <c r="H9" s="5" t="s">
        <v>131</v>
      </c>
    </row>
    <row r="10" spans="2:8" ht="33.75" customHeight="1">
      <c r="B10" s="8" t="s">
        <v>211</v>
      </c>
      <c r="C10" s="32" t="s">
        <v>212</v>
      </c>
      <c r="D10" s="5">
        <v>2</v>
      </c>
      <c r="E10" s="5">
        <v>5</v>
      </c>
      <c r="F10" s="5">
        <v>4</v>
      </c>
      <c r="G10" s="5">
        <f t="shared" si="0"/>
        <v>40</v>
      </c>
      <c r="H10" s="5" t="s">
        <v>131</v>
      </c>
    </row>
    <row r="11" spans="2:8" ht="33.75" customHeight="1">
      <c r="B11" s="8" t="s">
        <v>132</v>
      </c>
      <c r="C11" s="32" t="s">
        <v>133</v>
      </c>
      <c r="D11" s="5">
        <v>2</v>
      </c>
      <c r="E11" s="5">
        <v>5</v>
      </c>
      <c r="F11" s="5">
        <v>2</v>
      </c>
      <c r="G11" s="5">
        <f t="shared" si="0"/>
        <v>20</v>
      </c>
      <c r="H11" s="5" t="s">
        <v>134</v>
      </c>
    </row>
    <row r="12" spans="2:8" ht="33.75" customHeight="1">
      <c r="B12" s="8" t="s">
        <v>213</v>
      </c>
      <c r="C12" s="33" t="s">
        <v>214</v>
      </c>
      <c r="D12" s="5">
        <v>5</v>
      </c>
      <c r="E12" s="5">
        <v>1</v>
      </c>
      <c r="F12" s="5">
        <v>5</v>
      </c>
      <c r="G12" s="5">
        <f t="shared" si="0"/>
        <v>10</v>
      </c>
      <c r="H12" s="5" t="s">
        <v>134</v>
      </c>
    </row>
    <row r="14" spans="2:8" ht="118.7" customHeight="1">
      <c r="B14" s="30" t="s">
        <v>145</v>
      </c>
      <c r="C14" s="65" t="s">
        <v>254</v>
      </c>
      <c r="D14" s="66"/>
      <c r="E14" s="66"/>
      <c r="F14" s="66"/>
      <c r="G14" s="66"/>
      <c r="H14" s="67"/>
    </row>
  </sheetData>
  <mergeCells count="3">
    <mergeCell ref="B3:H3"/>
    <mergeCell ref="B2:H2"/>
    <mergeCell ref="C14:H14"/>
  </mergeCells>
  <phoneticPr fontId="14" type="noConversion"/>
  <conditionalFormatting sqref="G5:G12">
    <cfRule type="expression" dxfId="2" priority="2">
      <formula>AND(G5&lt;&gt;"",G5&gt;=32)</formula>
    </cfRule>
  </conditionalFormatting>
  <dataValidations count="2">
    <dataValidation type="list" allowBlank="1" sqref="E5:F12" xr:uid="{00000000-0002-0000-0300-000000000000}">
      <formula1>"1,2,3,4,5"</formula1>
      <formula2>0</formula2>
    </dataValidation>
    <dataValidation type="list" allowBlank="1" sqref="H5:H12" xr:uid="{00000000-0002-0000-0300-000001000000}">
      <formula1>"선정,보류,제외"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topLeftCell="A4" workbookViewId="0">
      <selection activeCell="B23" sqref="B23:C23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60" t="s">
        <v>215</v>
      </c>
      <c r="C2" s="58"/>
    </row>
    <row r="3" spans="2:3" ht="18" customHeight="1">
      <c r="B3" s="77" t="s">
        <v>59</v>
      </c>
      <c r="C3" s="49"/>
    </row>
    <row r="4" spans="2:3" ht="30" customHeight="1">
      <c r="B4" s="19" t="s">
        <v>60</v>
      </c>
      <c r="C4" s="18" t="s">
        <v>135</v>
      </c>
    </row>
    <row r="5" spans="2:3" ht="30" customHeight="1">
      <c r="B5" s="19" t="s">
        <v>61</v>
      </c>
      <c r="C5" s="18" t="s">
        <v>136</v>
      </c>
    </row>
    <row r="6" spans="2:3" ht="30" customHeight="1">
      <c r="B6" s="19" t="s">
        <v>62</v>
      </c>
      <c r="C6" s="99" t="s">
        <v>255</v>
      </c>
    </row>
    <row r="7" spans="2:3" ht="30" customHeight="1">
      <c r="B7" s="19" t="s">
        <v>63</v>
      </c>
      <c r="C7" s="99" t="s">
        <v>256</v>
      </c>
    </row>
    <row r="8" spans="2:3">
      <c r="B8" s="20"/>
      <c r="C8" s="20"/>
    </row>
    <row r="9" spans="2:3" ht="15" customHeight="1">
      <c r="B9" s="75" t="s">
        <v>216</v>
      </c>
      <c r="C9" s="76"/>
    </row>
    <row r="10" spans="2:3" ht="25.5" customHeight="1">
      <c r="B10" s="70" t="s">
        <v>217</v>
      </c>
      <c r="C10" s="69"/>
    </row>
    <row r="11" spans="2:3" ht="25.5" customHeight="1">
      <c r="B11" s="70" t="s">
        <v>218</v>
      </c>
      <c r="C11" s="69"/>
    </row>
    <row r="12" spans="2:3" ht="25.5" customHeight="1">
      <c r="B12" s="70" t="s">
        <v>219</v>
      </c>
      <c r="C12" s="69"/>
    </row>
    <row r="13" spans="2:3" ht="25.5" customHeight="1">
      <c r="B13" s="70" t="s">
        <v>220</v>
      </c>
      <c r="C13" s="69"/>
    </row>
    <row r="14" spans="2:3" ht="25.5" customHeight="1">
      <c r="B14" s="68" t="s">
        <v>257</v>
      </c>
      <c r="C14" s="69"/>
    </row>
    <row r="15" spans="2:3">
      <c r="B15" s="20"/>
      <c r="C15" s="20"/>
    </row>
    <row r="16" spans="2:3" ht="15" customHeight="1">
      <c r="B16" s="73" t="s">
        <v>221</v>
      </c>
      <c r="C16" s="74"/>
    </row>
    <row r="17" spans="2:3" ht="25.5" customHeight="1">
      <c r="B17" s="68" t="s">
        <v>258</v>
      </c>
      <c r="C17" s="69"/>
    </row>
    <row r="18" spans="2:3" ht="25.5" customHeight="1">
      <c r="B18" s="68" t="s">
        <v>259</v>
      </c>
      <c r="C18" s="69"/>
    </row>
    <row r="19" spans="2:3" ht="25.5" customHeight="1">
      <c r="B19" s="68" t="s">
        <v>260</v>
      </c>
      <c r="C19" s="69"/>
    </row>
    <row r="20" spans="2:3">
      <c r="B20" s="20"/>
      <c r="C20" s="20"/>
    </row>
    <row r="21" spans="2:3" ht="15" customHeight="1">
      <c r="B21" s="71" t="s">
        <v>222</v>
      </c>
      <c r="C21" s="72"/>
    </row>
    <row r="22" spans="2:3" ht="25.5" customHeight="1">
      <c r="B22" s="70" t="s">
        <v>223</v>
      </c>
      <c r="C22" s="69"/>
    </row>
    <row r="23" spans="2:3" ht="25.5" customHeight="1">
      <c r="B23" s="68" t="s">
        <v>149</v>
      </c>
      <c r="C23" s="69"/>
    </row>
    <row r="24" spans="2:3" ht="25.5" customHeight="1">
      <c r="B24" s="68" t="s">
        <v>224</v>
      </c>
      <c r="C24" s="69"/>
    </row>
  </sheetData>
  <mergeCells count="16">
    <mergeCell ref="B9:C9"/>
    <mergeCell ref="B22:C22"/>
    <mergeCell ref="B23:C23"/>
    <mergeCell ref="B3:C3"/>
    <mergeCell ref="B2:C2"/>
    <mergeCell ref="B10:C10"/>
    <mergeCell ref="B11:C11"/>
    <mergeCell ref="B12:C12"/>
    <mergeCell ref="B24:C24"/>
    <mergeCell ref="B13:C13"/>
    <mergeCell ref="B14:C14"/>
    <mergeCell ref="B17:C17"/>
    <mergeCell ref="B18:C18"/>
    <mergeCell ref="B19:C19"/>
    <mergeCell ref="B21:C21"/>
    <mergeCell ref="B16:C16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9"/>
  <sheetViews>
    <sheetView showGridLines="0" workbookViewId="0">
      <selection activeCell="H35" sqref="H35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90" t="s">
        <v>225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2:13" ht="79.7" customHeight="1">
      <c r="B3" s="61" t="s">
        <v>226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49"/>
    </row>
    <row r="4" spans="2:13" ht="25.5" customHeight="1">
      <c r="B4" s="44" t="s">
        <v>64</v>
      </c>
      <c r="C4" s="31" t="s">
        <v>65</v>
      </c>
      <c r="D4" s="31" t="s">
        <v>66</v>
      </c>
      <c r="E4" s="31" t="s">
        <v>67</v>
      </c>
      <c r="F4" s="31" t="s">
        <v>151</v>
      </c>
      <c r="G4" s="31" t="s">
        <v>152</v>
      </c>
      <c r="H4" s="31" t="s">
        <v>68</v>
      </c>
      <c r="I4" s="31" t="s">
        <v>153</v>
      </c>
      <c r="J4" s="31" t="s">
        <v>69</v>
      </c>
      <c r="K4" s="45">
        <v>1</v>
      </c>
      <c r="L4" s="45">
        <v>2</v>
      </c>
      <c r="M4" s="45">
        <v>3</v>
      </c>
    </row>
    <row r="5" spans="2:13" ht="30" customHeight="1">
      <c r="B5" s="23">
        <v>1</v>
      </c>
      <c r="C5" s="36" t="s">
        <v>71</v>
      </c>
      <c r="D5" s="18" t="s">
        <v>227</v>
      </c>
      <c r="E5" s="23" t="s">
        <v>137</v>
      </c>
      <c r="F5" s="23">
        <v>1</v>
      </c>
      <c r="G5" s="23">
        <v>1</v>
      </c>
      <c r="H5" s="23">
        <f t="shared" ref="H5:H19" si="0">IF(OR(F5="",G5=""),"",G5-F5+1)</f>
        <v>1</v>
      </c>
      <c r="I5" s="22">
        <v>100</v>
      </c>
      <c r="J5" s="23" t="s">
        <v>242</v>
      </c>
      <c r="K5" s="21">
        <f t="shared" ref="K5:M19" si="1">IF(AND(K$4&gt;=$F5,K$4&lt;=$G5),1,"")</f>
        <v>1</v>
      </c>
      <c r="L5" s="21" t="str">
        <f t="shared" si="1"/>
        <v/>
      </c>
      <c r="M5" s="21" t="str">
        <f t="shared" si="1"/>
        <v/>
      </c>
    </row>
    <row r="6" spans="2:13" ht="30" customHeight="1">
      <c r="B6" s="23">
        <v>2</v>
      </c>
      <c r="C6" s="36" t="s">
        <v>71</v>
      </c>
      <c r="D6" s="18" t="s">
        <v>228</v>
      </c>
      <c r="E6" s="23" t="s">
        <v>137</v>
      </c>
      <c r="F6" s="23">
        <v>1</v>
      </c>
      <c r="G6" s="23">
        <v>1</v>
      </c>
      <c r="H6" s="23">
        <f t="shared" si="0"/>
        <v>1</v>
      </c>
      <c r="I6" s="22">
        <v>100</v>
      </c>
      <c r="J6" s="23" t="s">
        <v>242</v>
      </c>
      <c r="K6" s="21">
        <f t="shared" si="1"/>
        <v>1</v>
      </c>
      <c r="L6" s="21" t="str">
        <f t="shared" si="1"/>
        <v/>
      </c>
      <c r="M6" s="21" t="str">
        <f t="shared" si="1"/>
        <v/>
      </c>
    </row>
    <row r="7" spans="2:13" ht="30" customHeight="1">
      <c r="B7" s="23">
        <v>3</v>
      </c>
      <c r="C7" s="38" t="s">
        <v>72</v>
      </c>
      <c r="D7" s="18" t="s">
        <v>229</v>
      </c>
      <c r="E7" s="23" t="s">
        <v>139</v>
      </c>
      <c r="F7" s="23">
        <v>1</v>
      </c>
      <c r="G7" s="23">
        <v>1</v>
      </c>
      <c r="H7" s="23">
        <f t="shared" si="0"/>
        <v>1</v>
      </c>
      <c r="I7" s="22">
        <v>100</v>
      </c>
      <c r="J7" s="23" t="s">
        <v>242</v>
      </c>
      <c r="K7" s="21">
        <f t="shared" si="1"/>
        <v>1</v>
      </c>
      <c r="L7" s="21" t="str">
        <f t="shared" si="1"/>
        <v/>
      </c>
      <c r="M7" s="21" t="str">
        <f t="shared" si="1"/>
        <v/>
      </c>
    </row>
    <row r="8" spans="2:13" ht="30" customHeight="1">
      <c r="B8" s="23">
        <v>4</v>
      </c>
      <c r="C8" s="38" t="s">
        <v>72</v>
      </c>
      <c r="D8" s="18" t="s">
        <v>230</v>
      </c>
      <c r="E8" s="23" t="s">
        <v>140</v>
      </c>
      <c r="F8" s="23">
        <v>1</v>
      </c>
      <c r="G8" s="23">
        <v>1</v>
      </c>
      <c r="H8" s="23">
        <f t="shared" si="0"/>
        <v>1</v>
      </c>
      <c r="I8" s="22">
        <v>100</v>
      </c>
      <c r="J8" s="23" t="s">
        <v>242</v>
      </c>
      <c r="K8" s="21">
        <f t="shared" si="1"/>
        <v>1</v>
      </c>
      <c r="L8" s="21" t="str">
        <f t="shared" si="1"/>
        <v/>
      </c>
      <c r="M8" s="21" t="str">
        <f t="shared" si="1"/>
        <v/>
      </c>
    </row>
    <row r="9" spans="2:13" ht="30" customHeight="1">
      <c r="B9" s="23">
        <v>5</v>
      </c>
      <c r="C9" s="37" t="s">
        <v>73</v>
      </c>
      <c r="D9" s="18" t="s">
        <v>231</v>
      </c>
      <c r="E9" s="23" t="s">
        <v>139</v>
      </c>
      <c r="F9" s="23">
        <v>2</v>
      </c>
      <c r="G9" s="23">
        <v>2</v>
      </c>
      <c r="H9" s="23">
        <f t="shared" si="0"/>
        <v>1</v>
      </c>
      <c r="I9" s="22">
        <v>100</v>
      </c>
      <c r="J9" s="23" t="s">
        <v>242</v>
      </c>
      <c r="K9" s="21" t="str">
        <f t="shared" si="1"/>
        <v/>
      </c>
      <c r="L9" s="21">
        <f t="shared" si="1"/>
        <v>1</v>
      </c>
      <c r="M9" s="21" t="str">
        <f t="shared" si="1"/>
        <v/>
      </c>
    </row>
    <row r="10" spans="2:13" ht="30" customHeight="1">
      <c r="B10" s="23">
        <v>6</v>
      </c>
      <c r="C10" s="37" t="s">
        <v>73</v>
      </c>
      <c r="D10" s="18" t="s">
        <v>232</v>
      </c>
      <c r="E10" s="23" t="s">
        <v>139</v>
      </c>
      <c r="F10" s="23">
        <v>2</v>
      </c>
      <c r="G10" s="23">
        <v>2</v>
      </c>
      <c r="H10" s="23">
        <f t="shared" si="0"/>
        <v>1</v>
      </c>
      <c r="I10" s="22">
        <v>100</v>
      </c>
      <c r="J10" s="23" t="s">
        <v>242</v>
      </c>
      <c r="K10" s="21" t="str">
        <f t="shared" si="1"/>
        <v/>
      </c>
      <c r="L10" s="21">
        <f t="shared" si="1"/>
        <v>1</v>
      </c>
      <c r="M10" s="21" t="str">
        <f t="shared" si="1"/>
        <v/>
      </c>
    </row>
    <row r="11" spans="2:13" ht="30" customHeight="1">
      <c r="B11" s="23">
        <v>7</v>
      </c>
      <c r="C11" s="37" t="s">
        <v>73</v>
      </c>
      <c r="D11" s="18" t="s">
        <v>233</v>
      </c>
      <c r="E11" s="23" t="s">
        <v>139</v>
      </c>
      <c r="F11" s="23">
        <v>2</v>
      </c>
      <c r="G11" s="23">
        <v>2</v>
      </c>
      <c r="H11" s="23">
        <f t="shared" si="0"/>
        <v>1</v>
      </c>
      <c r="I11" s="22">
        <v>100</v>
      </c>
      <c r="J11" s="23" t="s">
        <v>242</v>
      </c>
      <c r="K11" s="21" t="str">
        <f t="shared" si="1"/>
        <v/>
      </c>
      <c r="L11" s="21">
        <f t="shared" si="1"/>
        <v>1</v>
      </c>
      <c r="M11" s="21" t="str">
        <f t="shared" si="1"/>
        <v/>
      </c>
    </row>
    <row r="12" spans="2:13" ht="30" customHeight="1">
      <c r="B12" s="23">
        <v>8</v>
      </c>
      <c r="C12" s="37" t="s">
        <v>73</v>
      </c>
      <c r="D12" s="18" t="s">
        <v>234</v>
      </c>
      <c r="E12" s="23" t="s">
        <v>141</v>
      </c>
      <c r="F12" s="23">
        <v>2</v>
      </c>
      <c r="G12" s="23">
        <v>2</v>
      </c>
      <c r="H12" s="23">
        <f t="shared" si="0"/>
        <v>1</v>
      </c>
      <c r="I12" s="22">
        <v>100</v>
      </c>
      <c r="J12" s="23" t="s">
        <v>242</v>
      </c>
      <c r="K12" s="21" t="str">
        <f t="shared" si="1"/>
        <v/>
      </c>
      <c r="L12" s="21">
        <f t="shared" si="1"/>
        <v>1</v>
      </c>
      <c r="M12" s="21" t="str">
        <f t="shared" si="1"/>
        <v/>
      </c>
    </row>
    <row r="13" spans="2:13" ht="30" customHeight="1">
      <c r="B13" s="23">
        <v>9</v>
      </c>
      <c r="C13" s="37" t="s">
        <v>73</v>
      </c>
      <c r="D13" s="18" t="s">
        <v>235</v>
      </c>
      <c r="E13" s="23" t="s">
        <v>141</v>
      </c>
      <c r="F13" s="23">
        <v>2</v>
      </c>
      <c r="G13" s="23">
        <v>2</v>
      </c>
      <c r="H13" s="23">
        <f t="shared" si="0"/>
        <v>1</v>
      </c>
      <c r="I13" s="22">
        <v>100</v>
      </c>
      <c r="J13" s="23" t="s">
        <v>242</v>
      </c>
      <c r="K13" s="21" t="str">
        <f t="shared" si="1"/>
        <v/>
      </c>
      <c r="L13" s="21">
        <f t="shared" si="1"/>
        <v>1</v>
      </c>
      <c r="M13" s="21" t="str">
        <f t="shared" si="1"/>
        <v/>
      </c>
    </row>
    <row r="14" spans="2:13" ht="30" customHeight="1">
      <c r="B14" s="23">
        <v>10</v>
      </c>
      <c r="C14" s="37" t="s">
        <v>73</v>
      </c>
      <c r="D14" s="18" t="s">
        <v>236</v>
      </c>
      <c r="E14" s="23" t="s">
        <v>141</v>
      </c>
      <c r="F14" s="23">
        <v>2</v>
      </c>
      <c r="G14" s="23">
        <v>2</v>
      </c>
      <c r="H14" s="23">
        <f t="shared" si="0"/>
        <v>1</v>
      </c>
      <c r="I14" s="22">
        <v>100</v>
      </c>
      <c r="J14" s="23" t="s">
        <v>242</v>
      </c>
      <c r="K14" s="21" t="str">
        <f t="shared" si="1"/>
        <v/>
      </c>
      <c r="L14" s="21">
        <f t="shared" si="1"/>
        <v>1</v>
      </c>
      <c r="M14" s="21" t="str">
        <f t="shared" si="1"/>
        <v/>
      </c>
    </row>
    <row r="15" spans="2:13" ht="30" customHeight="1">
      <c r="B15" s="23">
        <v>11</v>
      </c>
      <c r="C15" s="37" t="s">
        <v>73</v>
      </c>
      <c r="D15" s="18" t="s">
        <v>237</v>
      </c>
      <c r="E15" s="23" t="s">
        <v>141</v>
      </c>
      <c r="F15" s="23">
        <v>2</v>
      </c>
      <c r="G15" s="23">
        <v>2</v>
      </c>
      <c r="H15" s="23">
        <f t="shared" si="0"/>
        <v>1</v>
      </c>
      <c r="I15" s="22">
        <v>100</v>
      </c>
      <c r="J15" s="23" t="s">
        <v>242</v>
      </c>
      <c r="K15" s="21" t="str">
        <f t="shared" si="1"/>
        <v/>
      </c>
      <c r="L15" s="21">
        <f t="shared" si="1"/>
        <v>1</v>
      </c>
      <c r="M15" s="21" t="str">
        <f t="shared" si="1"/>
        <v/>
      </c>
    </row>
    <row r="16" spans="2:13" ht="30" customHeight="1">
      <c r="B16" s="23">
        <v>12</v>
      </c>
      <c r="C16" s="39" t="s">
        <v>75</v>
      </c>
      <c r="D16" s="18" t="s">
        <v>238</v>
      </c>
      <c r="E16" s="23" t="s">
        <v>137</v>
      </c>
      <c r="F16" s="23">
        <v>3</v>
      </c>
      <c r="G16" s="23">
        <v>3</v>
      </c>
      <c r="H16" s="23">
        <f t="shared" si="0"/>
        <v>1</v>
      </c>
      <c r="I16" s="22">
        <v>100</v>
      </c>
      <c r="J16" s="23" t="s">
        <v>242</v>
      </c>
      <c r="K16" s="21" t="str">
        <f t="shared" si="1"/>
        <v/>
      </c>
      <c r="L16" s="21" t="str">
        <f t="shared" si="1"/>
        <v/>
      </c>
      <c r="M16" s="21">
        <f t="shared" si="1"/>
        <v>1</v>
      </c>
    </row>
    <row r="17" spans="2:13" ht="30" customHeight="1">
      <c r="B17" s="23">
        <v>13</v>
      </c>
      <c r="C17" s="42" t="s">
        <v>74</v>
      </c>
      <c r="D17" s="18" t="s">
        <v>239</v>
      </c>
      <c r="E17" s="23" t="s">
        <v>140</v>
      </c>
      <c r="F17" s="23">
        <v>3</v>
      </c>
      <c r="G17" s="23">
        <v>3</v>
      </c>
      <c r="H17" s="23">
        <f t="shared" si="0"/>
        <v>1</v>
      </c>
      <c r="I17" s="22">
        <v>70</v>
      </c>
      <c r="J17" s="23" t="s">
        <v>243</v>
      </c>
      <c r="K17" s="21" t="str">
        <f t="shared" si="1"/>
        <v/>
      </c>
      <c r="L17" s="21" t="str">
        <f t="shared" si="1"/>
        <v/>
      </c>
      <c r="M17" s="21">
        <f t="shared" si="1"/>
        <v>1</v>
      </c>
    </row>
    <row r="18" spans="2:13" s="17" customFormat="1" ht="30" customHeight="1">
      <c r="B18" s="26">
        <v>14</v>
      </c>
      <c r="C18" s="40" t="s">
        <v>76</v>
      </c>
      <c r="D18" s="25" t="s">
        <v>240</v>
      </c>
      <c r="E18" s="26" t="s">
        <v>137</v>
      </c>
      <c r="F18" s="41">
        <v>3</v>
      </c>
      <c r="G18" s="41">
        <v>3</v>
      </c>
      <c r="H18" s="26">
        <f t="shared" ref="H18" si="2">G18-F18+1</f>
        <v>1</v>
      </c>
      <c r="I18" s="26">
        <v>100</v>
      </c>
      <c r="J18" s="26" t="s">
        <v>242</v>
      </c>
      <c r="K18" s="24"/>
      <c r="L18" s="24"/>
      <c r="M18" s="24"/>
    </row>
    <row r="19" spans="2:13" ht="30" customHeight="1">
      <c r="B19" s="23">
        <v>15</v>
      </c>
      <c r="C19" s="43" t="s">
        <v>77</v>
      </c>
      <c r="D19" s="18" t="s">
        <v>241</v>
      </c>
      <c r="E19" s="23" t="s">
        <v>137</v>
      </c>
      <c r="F19" s="23">
        <v>3</v>
      </c>
      <c r="G19" s="23">
        <v>3</v>
      </c>
      <c r="H19" s="23">
        <f t="shared" si="0"/>
        <v>1</v>
      </c>
      <c r="I19" s="22">
        <v>0</v>
      </c>
      <c r="J19" s="23" t="s">
        <v>138</v>
      </c>
      <c r="K19" s="21" t="str">
        <f t="shared" si="1"/>
        <v/>
      </c>
      <c r="L19" s="21" t="str">
        <f t="shared" si="1"/>
        <v/>
      </c>
      <c r="M19" s="21">
        <f t="shared" si="1"/>
        <v>1</v>
      </c>
    </row>
    <row r="21" spans="2:13" ht="15" customHeight="1">
      <c r="B21" s="91" t="s">
        <v>70</v>
      </c>
      <c r="C21" s="92"/>
    </row>
    <row r="22" spans="2:13" ht="15" customHeight="1">
      <c r="B22" s="93" t="s">
        <v>150</v>
      </c>
      <c r="C22" s="94"/>
    </row>
    <row r="23" spans="2:13" ht="15" customHeight="1">
      <c r="B23" s="95" t="s">
        <v>72</v>
      </c>
      <c r="C23" s="96"/>
    </row>
    <row r="24" spans="2:13" ht="15" customHeight="1">
      <c r="B24" s="80" t="s">
        <v>73</v>
      </c>
      <c r="C24" s="81"/>
    </row>
    <row r="25" spans="2:13" ht="15" customHeight="1">
      <c r="B25" s="82" t="s">
        <v>74</v>
      </c>
      <c r="C25" s="83"/>
    </row>
    <row r="26" spans="2:13" ht="15" customHeight="1">
      <c r="B26" s="84" t="s">
        <v>75</v>
      </c>
      <c r="C26" s="85"/>
    </row>
    <row r="27" spans="2:13" ht="15" customHeight="1">
      <c r="B27" s="86" t="s">
        <v>76</v>
      </c>
      <c r="C27" s="87"/>
    </row>
    <row r="28" spans="2:13" ht="15" customHeight="1">
      <c r="B28" s="88" t="s">
        <v>77</v>
      </c>
      <c r="C28" s="89"/>
    </row>
    <row r="29" spans="2:13" ht="15" customHeight="1">
      <c r="B29" s="78" t="s">
        <v>78</v>
      </c>
      <c r="C29" s="79"/>
    </row>
  </sheetData>
  <mergeCells count="11">
    <mergeCell ref="B3:M3"/>
    <mergeCell ref="B2:M2"/>
    <mergeCell ref="B21:C21"/>
    <mergeCell ref="B22:C22"/>
    <mergeCell ref="B23:C23"/>
    <mergeCell ref="B29:C29"/>
    <mergeCell ref="B24:C24"/>
    <mergeCell ref="B25:C25"/>
    <mergeCell ref="B26:C26"/>
    <mergeCell ref="B27:C27"/>
    <mergeCell ref="B28:C28"/>
  </mergeCells>
  <phoneticPr fontId="14" type="noConversion"/>
  <conditionalFormatting sqref="K5:M17 K19:M19">
    <cfRule type="expression" dxfId="1" priority="2">
      <formula>K5=1</formula>
    </cfRule>
  </conditionalFormatting>
  <conditionalFormatting sqref="K18:M18">
    <cfRule type="expression" dxfId="0" priority="1">
      <formula>AND(K$4&gt;=$F18,K$4&lt;=$G18)</formula>
    </cfRule>
  </conditionalFormatting>
  <dataValidations count="2">
    <dataValidation type="list" allowBlank="1" sqref="C5:C19" xr:uid="{00000000-0002-0000-0500-000000000000}">
      <formula1>"기획,설계,개발,배포,테스트,문서화,발표준비"</formula1>
      <formula2>0</formula2>
    </dataValidation>
    <dataValidation type="list" allowBlank="1" sqref="J5:J19" xr:uid="{00000000-0002-0000-0500-000001000000}">
      <formula1>"예정,진행중,완료"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7" t="s">
        <v>79</v>
      </c>
      <c r="C2" s="58"/>
    </row>
    <row r="3" spans="2:3" ht="19.5" customHeight="1">
      <c r="B3" s="97" t="s">
        <v>80</v>
      </c>
      <c r="C3" s="49"/>
    </row>
    <row r="5" spans="2:3" ht="19.5" customHeight="1">
      <c r="B5" s="6" t="s">
        <v>81</v>
      </c>
      <c r="C5" s="6" t="s">
        <v>82</v>
      </c>
    </row>
    <row r="6" spans="2:3" ht="30" customHeight="1">
      <c r="B6" s="4" t="s">
        <v>83</v>
      </c>
      <c r="C6" s="2" t="s">
        <v>84</v>
      </c>
    </row>
    <row r="7" spans="2:3" ht="30" customHeight="1">
      <c r="B7" s="4" t="s">
        <v>85</v>
      </c>
      <c r="C7" s="2" t="s">
        <v>86</v>
      </c>
    </row>
    <row r="8" spans="2:3" ht="30" customHeight="1">
      <c r="B8" s="4" t="s">
        <v>87</v>
      </c>
      <c r="C8" s="2" t="s">
        <v>88</v>
      </c>
    </row>
    <row r="9" spans="2:3" ht="30" customHeight="1">
      <c r="B9" s="1" t="s">
        <v>89</v>
      </c>
      <c r="C9" s="2" t="s">
        <v>90</v>
      </c>
    </row>
    <row r="10" spans="2:3" ht="30" customHeight="1">
      <c r="B10" s="4" t="s">
        <v>91</v>
      </c>
      <c r="C10" s="2" t="s">
        <v>92</v>
      </c>
    </row>
    <row r="11" spans="2:3" ht="30" customHeight="1">
      <c r="B11" s="4" t="s">
        <v>93</v>
      </c>
      <c r="C11" s="2" t="s">
        <v>94</v>
      </c>
    </row>
    <row r="12" spans="2:3" ht="30" customHeight="1">
      <c r="B12" s="4" t="s">
        <v>95</v>
      </c>
      <c r="C12" s="2" t="s">
        <v>96</v>
      </c>
    </row>
    <row r="13" spans="2:3" ht="30" customHeight="1">
      <c r="B13" s="1" t="s">
        <v>97</v>
      </c>
      <c r="C13" s="2" t="s">
        <v>98</v>
      </c>
    </row>
    <row r="14" spans="2:3" ht="30" customHeight="1">
      <c r="B14" s="4" t="s">
        <v>99</v>
      </c>
      <c r="C14" s="2" t="s">
        <v>100</v>
      </c>
    </row>
    <row r="15" spans="2:3" ht="30" customHeight="1">
      <c r="B15" s="1" t="s">
        <v>101</v>
      </c>
      <c r="C15" s="2" t="s">
        <v>102</v>
      </c>
    </row>
    <row r="16" spans="2:3" ht="30" customHeight="1">
      <c r="B16" s="1" t="s">
        <v>103</v>
      </c>
      <c r="C16" s="2" t="s">
        <v>104</v>
      </c>
    </row>
    <row r="17" spans="2:3" ht="30" customHeight="1">
      <c r="B17" s="4" t="s">
        <v>105</v>
      </c>
      <c r="C17" s="2" t="s">
        <v>106</v>
      </c>
    </row>
    <row r="18" spans="2:3" ht="30" customHeight="1">
      <c r="B18" s="1" t="s">
        <v>107</v>
      </c>
      <c r="C18" s="2" t="s">
        <v>108</v>
      </c>
    </row>
    <row r="19" spans="2:3" ht="30" customHeight="1">
      <c r="B19" s="1" t="s">
        <v>109</v>
      </c>
      <c r="C19" s="2" t="s">
        <v>110</v>
      </c>
    </row>
    <row r="20" spans="2:3" ht="30" customHeight="1">
      <c r="B20" s="1" t="s">
        <v>111</v>
      </c>
      <c r="C20" s="2" t="s">
        <v>112</v>
      </c>
    </row>
    <row r="21" spans="2:3" ht="30" customHeight="1">
      <c r="B21" s="1" t="s">
        <v>113</v>
      </c>
      <c r="C21" s="3" t="s">
        <v>114</v>
      </c>
    </row>
    <row r="22" spans="2:3" ht="30" customHeight="1">
      <c r="B22" s="1" t="s">
        <v>115</v>
      </c>
      <c r="C22" s="2" t="s">
        <v>116</v>
      </c>
    </row>
    <row r="23" spans="2:3" ht="30" customHeight="1">
      <c r="B23" s="4" t="s">
        <v>117</v>
      </c>
      <c r="C23" s="2" t="s">
        <v>118</v>
      </c>
    </row>
    <row r="24" spans="2:3" ht="30" customHeight="1">
      <c r="B24" s="4" t="s">
        <v>244</v>
      </c>
      <c r="C24" s="2" t="s">
        <v>245</v>
      </c>
    </row>
    <row r="25" spans="2:3" ht="30" customHeight="1">
      <c r="B25" s="4" t="s">
        <v>246</v>
      </c>
      <c r="C25" s="2" t="s">
        <v>247</v>
      </c>
    </row>
  </sheetData>
  <mergeCells count="2">
    <mergeCell ref="B3:C3"/>
    <mergeCell ref="B2:C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</cp:lastModifiedBy>
  <dcterms:modified xsi:type="dcterms:W3CDTF">2026-07-16T04:21:00Z</dcterms:modified>
</cp:coreProperties>
</file>